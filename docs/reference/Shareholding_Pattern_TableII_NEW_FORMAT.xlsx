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RTA BACKOFFICE\Desktop\"/>
    </mc:Choice>
  </mc:AlternateContent>
  <bookViews>
    <workbookView xWindow="0" yWindow="0" windowWidth="24000" windowHeight="9435"/>
  </bookViews>
  <sheets>
    <sheet name="Dashboard" sheetId="1" r:id="rId1"/>
    <sheet name="Table I" sheetId="2" r:id="rId2"/>
    <sheet name="Table II" sheetId="3" r:id="rId3"/>
    <sheet name="Table II-A" sheetId="5" r:id="rId4"/>
    <sheet name="Table III" sheetId="4" r:id="rId5"/>
    <sheet name="Table III-A" sheetId="16" r:id="rId6"/>
    <sheet name="Table III-B" sheetId="6" r:id="rId7"/>
    <sheet name="Table IV" sheetId="17" r:id="rId8"/>
    <sheet name="Table V" sheetId="8" r:id="rId9"/>
    <sheet name="Annexure B" sheetId="9" r:id="rId10"/>
    <sheet name="Annexure A" sheetId="21" r:id="rId11"/>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1" l="1"/>
  <c r="I12" i="1"/>
  <c r="K93" i="4"/>
  <c r="G93" i="4"/>
  <c r="F93" i="4"/>
  <c r="K57" i="4"/>
  <c r="G57" i="4"/>
  <c r="F57" i="4"/>
  <c r="K52" i="4"/>
  <c r="G52" i="4"/>
  <c r="F52" i="4"/>
  <c r="K29" i="4"/>
  <c r="G29" i="4"/>
  <c r="F29" i="4"/>
  <c r="R12" i="2"/>
  <c r="H12" i="2"/>
  <c r="H11" i="2"/>
  <c r="H10" i="2"/>
  <c r="H9" i="2"/>
  <c r="H8" i="2"/>
  <c r="H7" i="2"/>
  <c r="AD10" i="2"/>
  <c r="T10" i="2"/>
  <c r="AD34" i="3"/>
  <c r="AD33" i="3"/>
  <c r="AD32" i="3"/>
  <c r="AD31" i="3"/>
  <c r="AD30" i="3"/>
  <c r="AD29" i="3"/>
  <c r="AD28" i="3"/>
  <c r="AD27" i="3"/>
  <c r="AD26" i="3"/>
  <c r="AD25" i="3"/>
  <c r="AC34" i="3"/>
  <c r="AC33" i="3"/>
  <c r="AC32" i="3"/>
  <c r="AC31" i="3"/>
  <c r="AC30" i="3"/>
  <c r="AC29" i="3"/>
  <c r="AC28" i="3"/>
  <c r="AC27" i="3"/>
  <c r="AC26" i="3"/>
  <c r="AC25" i="3"/>
  <c r="AB34" i="3"/>
  <c r="AB33" i="3"/>
  <c r="AB32" i="3"/>
  <c r="AB31" i="3"/>
  <c r="AB30" i="3"/>
  <c r="AB29" i="3"/>
  <c r="AB28" i="3"/>
  <c r="AB27" i="3"/>
  <c r="AB26" i="3"/>
  <c r="AB25" i="3"/>
  <c r="Z34" i="3"/>
  <c r="Z33" i="3"/>
  <c r="Z32" i="3"/>
  <c r="Z31" i="3"/>
  <c r="Z30" i="3"/>
  <c r="Z29" i="3"/>
  <c r="Z28" i="3"/>
  <c r="Z27" i="3"/>
  <c r="Z26" i="3"/>
  <c r="Z25" i="3"/>
  <c r="X34" i="3"/>
  <c r="X33" i="3"/>
  <c r="X32" i="3"/>
  <c r="X31" i="3"/>
  <c r="X30" i="3"/>
  <c r="X29" i="3"/>
  <c r="X28" i="3"/>
  <c r="X27" i="3"/>
  <c r="X26" i="3"/>
  <c r="X25" i="3"/>
  <c r="V34" i="3"/>
  <c r="V33" i="3"/>
  <c r="V32" i="3"/>
  <c r="V31" i="3"/>
  <c r="V30" i="3"/>
  <c r="V29" i="3"/>
  <c r="V28" i="3"/>
  <c r="V27" i="3"/>
  <c r="V26" i="3"/>
  <c r="V25" i="3"/>
  <c r="S34" i="3"/>
  <c r="S33" i="3"/>
  <c r="S32" i="3"/>
  <c r="S31" i="3"/>
  <c r="S30" i="3"/>
  <c r="S29" i="3"/>
  <c r="S28" i="3"/>
  <c r="S27" i="3"/>
  <c r="S26" i="3"/>
  <c r="S25" i="3"/>
  <c r="R34" i="3"/>
  <c r="R33" i="3"/>
  <c r="R32" i="3"/>
  <c r="R31" i="3"/>
  <c r="R30" i="3"/>
  <c r="R29" i="3"/>
  <c r="R28" i="3"/>
  <c r="R27" i="3"/>
  <c r="R26" i="3"/>
  <c r="R25" i="3"/>
  <c r="N34" i="3"/>
  <c r="N33" i="3"/>
  <c r="N32" i="3"/>
  <c r="N31" i="3"/>
  <c r="N30" i="3"/>
  <c r="N29" i="3"/>
  <c r="N28" i="3"/>
  <c r="N27" i="3"/>
  <c r="N26" i="3"/>
  <c r="N25" i="3"/>
  <c r="M34" i="3"/>
  <c r="M33" i="3"/>
  <c r="M32" i="3"/>
  <c r="M31" i="3"/>
  <c r="M30" i="3"/>
  <c r="M29" i="3"/>
  <c r="M28" i="3"/>
  <c r="M27" i="3"/>
  <c r="M26" i="3"/>
  <c r="M25" i="3"/>
  <c r="K34" i="3"/>
  <c r="K33" i="3"/>
  <c r="K32" i="3"/>
  <c r="K31" i="3"/>
  <c r="K30" i="3"/>
  <c r="K29" i="3"/>
  <c r="K28" i="3"/>
  <c r="K27" i="3"/>
  <c r="K26" i="3"/>
  <c r="K25" i="3"/>
  <c r="J34" i="3"/>
  <c r="J33" i="3"/>
  <c r="J32" i="3"/>
  <c r="J31" i="3"/>
  <c r="J30" i="3"/>
  <c r="J29" i="3"/>
  <c r="J28" i="3"/>
  <c r="J27" i="3"/>
  <c r="J26" i="3"/>
  <c r="J25" i="3"/>
  <c r="I34" i="3"/>
  <c r="I33" i="3"/>
  <c r="I32" i="3"/>
  <c r="I31" i="3"/>
  <c r="I30" i="3"/>
  <c r="I29" i="3"/>
  <c r="I28" i="3"/>
  <c r="I27" i="3"/>
  <c r="I26" i="3"/>
  <c r="I25" i="3"/>
  <c r="AC24" i="3"/>
  <c r="AA24" i="3"/>
  <c r="Y24" i="3"/>
  <c r="W24" i="3"/>
  <c r="U24" i="3"/>
  <c r="Q24" i="3"/>
  <c r="P24" i="3"/>
  <c r="O24" i="3"/>
  <c r="L24" i="3"/>
  <c r="H24" i="3"/>
  <c r="G24" i="3"/>
  <c r="F24" i="3"/>
  <c r="E24" i="3"/>
  <c r="AA11" i="3"/>
  <c r="Y11" i="3"/>
  <c r="W11" i="3"/>
  <c r="U11" i="3"/>
  <c r="S10" i="3"/>
  <c r="S18" i="3"/>
  <c r="S11" i="3"/>
  <c r="Q18" i="3"/>
  <c r="P18" i="3"/>
  <c r="O18" i="3"/>
  <c r="M18" i="3"/>
  <c r="L18" i="3"/>
  <c r="K18" i="3"/>
  <c r="I18" i="3"/>
  <c r="H18" i="3"/>
  <c r="G18" i="3"/>
  <c r="F11" i="3"/>
  <c r="E11" i="3"/>
  <c r="Q11" i="3" l="1"/>
  <c r="P11" i="3"/>
  <c r="O11" i="3"/>
  <c r="L11" i="3"/>
  <c r="K11" i="3"/>
  <c r="I11" i="3"/>
  <c r="H11" i="3"/>
  <c r="G11" i="3"/>
  <c r="M12" i="3"/>
  <c r="AD17" i="3"/>
  <c r="AD16" i="3"/>
  <c r="AD15" i="3"/>
  <c r="AD14" i="3"/>
  <c r="AD13" i="3"/>
  <c r="AD12" i="3"/>
  <c r="AC17" i="3"/>
  <c r="AC16" i="3"/>
  <c r="AC15" i="3"/>
  <c r="AC14" i="3"/>
  <c r="AC13" i="3"/>
  <c r="AC12" i="3"/>
  <c r="AB17" i="3"/>
  <c r="AB16" i="3"/>
  <c r="AB15" i="3"/>
  <c r="AB14" i="3"/>
  <c r="AB13" i="3"/>
  <c r="AB12" i="3"/>
  <c r="Z17" i="3"/>
  <c r="Z16" i="3"/>
  <c r="Z15" i="3"/>
  <c r="Z14" i="3"/>
  <c r="Z13" i="3"/>
  <c r="Z12" i="3"/>
  <c r="X17" i="3"/>
  <c r="X16" i="3"/>
  <c r="X15" i="3"/>
  <c r="X14" i="3"/>
  <c r="X13" i="3"/>
  <c r="X12" i="3"/>
  <c r="V17" i="3"/>
  <c r="V16" i="3"/>
  <c r="V15" i="3"/>
  <c r="V14" i="3"/>
  <c r="V13" i="3"/>
  <c r="V12" i="3"/>
  <c r="S17" i="3"/>
  <c r="S16" i="3"/>
  <c r="S15" i="3"/>
  <c r="S14" i="3"/>
  <c r="S13" i="3"/>
  <c r="S12" i="3"/>
  <c r="R17" i="3"/>
  <c r="R16" i="3"/>
  <c r="R15" i="3"/>
  <c r="R14" i="3"/>
  <c r="R13" i="3"/>
  <c r="R12" i="3"/>
  <c r="M17" i="3"/>
  <c r="M16" i="3"/>
  <c r="M15" i="3"/>
  <c r="M14" i="3"/>
  <c r="M13" i="3"/>
  <c r="K17" i="3"/>
  <c r="K16" i="3"/>
  <c r="K15" i="3"/>
  <c r="K14" i="3"/>
  <c r="K12" i="3"/>
  <c r="K13" i="3"/>
  <c r="I17" i="3"/>
  <c r="I16" i="3"/>
  <c r="I15" i="3"/>
  <c r="I14" i="3"/>
  <c r="I13" i="3"/>
  <c r="I12" i="3"/>
  <c r="AE18" i="3"/>
  <c r="X8" i="3"/>
  <c r="W35" i="3"/>
  <c r="W18" i="3"/>
  <c r="V20" i="3"/>
  <c r="V8" i="3"/>
  <c r="S8" i="3"/>
  <c r="S9" i="3"/>
  <c r="S20" i="3"/>
  <c r="S21" i="3"/>
  <c r="S22" i="3"/>
  <c r="S23" i="3"/>
  <c r="Q35" i="3"/>
  <c r="Q36" i="3" s="1"/>
  <c r="P35" i="3"/>
  <c r="O35" i="3"/>
  <c r="M23" i="3"/>
  <c r="M22" i="3"/>
  <c r="M21" i="3"/>
  <c r="M20" i="3"/>
  <c r="M10" i="3"/>
  <c r="M9" i="3"/>
  <c r="M8" i="3"/>
  <c r="K23" i="3"/>
  <c r="K22" i="3"/>
  <c r="K21" i="3"/>
  <c r="K20" i="3"/>
  <c r="K8" i="3"/>
  <c r="K9" i="3"/>
  <c r="K10" i="3"/>
  <c r="H35" i="3"/>
  <c r="H36" i="3" s="1"/>
  <c r="G35" i="3"/>
  <c r="G36" i="3" s="1"/>
  <c r="I20" i="3"/>
  <c r="I21" i="3"/>
  <c r="I22" i="3"/>
  <c r="I23" i="3"/>
  <c r="I24" i="3"/>
  <c r="K24" i="3" s="1"/>
  <c r="M24" i="3" s="1"/>
  <c r="F35" i="3"/>
  <c r="H29" i="4"/>
  <c r="E29" i="4"/>
  <c r="I10" i="3"/>
  <c r="I9" i="3"/>
  <c r="I8" i="3"/>
  <c r="AD8" i="17"/>
  <c r="AD9" i="17" s="1"/>
  <c r="U8" i="17"/>
  <c r="Q8" i="17"/>
  <c r="H8" i="17"/>
  <c r="R8" i="17" s="1"/>
  <c r="U7" i="17"/>
  <c r="T9" i="17"/>
  <c r="U9" i="17" s="1"/>
  <c r="P9" i="17"/>
  <c r="O9" i="17"/>
  <c r="N9" i="17"/>
  <c r="D9" i="17"/>
  <c r="E9" i="17"/>
  <c r="H9" i="17" s="1"/>
  <c r="AD7" i="17"/>
  <c r="H7" i="17"/>
  <c r="J7" i="17" s="1"/>
  <c r="L7" i="17" s="1"/>
  <c r="Q7" i="17"/>
  <c r="AG37" i="4"/>
  <c r="AF37" i="4"/>
  <c r="AE37" i="4"/>
  <c r="T37" i="4"/>
  <c r="P37" i="4"/>
  <c r="Q37" i="4" s="1"/>
  <c r="R37" i="4" s="1"/>
  <c r="O37" i="4"/>
  <c r="N37" i="4"/>
  <c r="K37" i="4"/>
  <c r="G37" i="4"/>
  <c r="H37" i="4"/>
  <c r="F37" i="4"/>
  <c r="E37" i="4"/>
  <c r="D37" i="4"/>
  <c r="U38" i="4"/>
  <c r="U51" i="4"/>
  <c r="U50" i="4"/>
  <c r="U49" i="4"/>
  <c r="U48" i="4"/>
  <c r="U47" i="4"/>
  <c r="U46" i="4"/>
  <c r="U45" i="4"/>
  <c r="U44" i="4"/>
  <c r="U43" i="4"/>
  <c r="U42" i="4"/>
  <c r="U41" i="4"/>
  <c r="U40" i="4"/>
  <c r="U39" i="4"/>
  <c r="U35" i="4"/>
  <c r="R51" i="4"/>
  <c r="R50" i="4"/>
  <c r="R49" i="4"/>
  <c r="R48" i="4"/>
  <c r="R47" i="4"/>
  <c r="R46" i="4"/>
  <c r="R45" i="4"/>
  <c r="R44" i="4"/>
  <c r="R43" i="4"/>
  <c r="R42" i="4"/>
  <c r="R41" i="4"/>
  <c r="R40" i="4"/>
  <c r="R39" i="4"/>
  <c r="R38" i="4"/>
  <c r="Q51" i="4"/>
  <c r="Q50" i="4"/>
  <c r="Q49" i="4"/>
  <c r="Q48" i="4"/>
  <c r="Q47" i="4"/>
  <c r="Q46" i="4"/>
  <c r="Q45" i="4"/>
  <c r="Q44" i="4"/>
  <c r="Q43" i="4"/>
  <c r="Q42" i="4"/>
  <c r="Q41" i="4"/>
  <c r="Q40" i="4"/>
  <c r="Q39" i="4"/>
  <c r="Q38" i="4"/>
  <c r="L51" i="4"/>
  <c r="L50" i="4"/>
  <c r="L49" i="4"/>
  <c r="L48" i="4"/>
  <c r="L47" i="4"/>
  <c r="L46" i="4"/>
  <c r="L45" i="4"/>
  <c r="L44" i="4"/>
  <c r="L43" i="4"/>
  <c r="L42" i="4"/>
  <c r="L41" i="4"/>
  <c r="L40" i="4"/>
  <c r="L39" i="4"/>
  <c r="L38" i="4"/>
  <c r="J51" i="4"/>
  <c r="J50" i="4"/>
  <c r="J49" i="4"/>
  <c r="J48" i="4"/>
  <c r="J47" i="4"/>
  <c r="J46" i="4"/>
  <c r="J45" i="4"/>
  <c r="J44" i="4"/>
  <c r="J43" i="4"/>
  <c r="J42" i="4"/>
  <c r="J41" i="4"/>
  <c r="J40" i="4"/>
  <c r="J39" i="4"/>
  <c r="J38" i="4"/>
  <c r="H51" i="4"/>
  <c r="H50" i="4"/>
  <c r="H49" i="4"/>
  <c r="H48" i="4"/>
  <c r="H47" i="4"/>
  <c r="H46" i="4"/>
  <c r="H45" i="4"/>
  <c r="H44" i="4"/>
  <c r="H43" i="4"/>
  <c r="H42" i="4"/>
  <c r="H41" i="4"/>
  <c r="H40" i="4"/>
  <c r="H39" i="4"/>
  <c r="H38" i="4"/>
  <c r="AG18" i="4"/>
  <c r="AF18" i="4"/>
  <c r="AE18" i="4"/>
  <c r="U18" i="4"/>
  <c r="T18" i="4"/>
  <c r="R28" i="4"/>
  <c r="R27" i="4"/>
  <c r="R26" i="4"/>
  <c r="R25" i="4"/>
  <c r="R24" i="4"/>
  <c r="R23" i="4"/>
  <c r="R22" i="4"/>
  <c r="R21" i="4"/>
  <c r="R20" i="4"/>
  <c r="R19" i="4"/>
  <c r="R18" i="4"/>
  <c r="Q18" i="4"/>
  <c r="P18" i="4"/>
  <c r="O18" i="4"/>
  <c r="N18" i="4"/>
  <c r="K18" i="4"/>
  <c r="J18" i="4"/>
  <c r="H18" i="4"/>
  <c r="G18" i="4"/>
  <c r="L18" i="4"/>
  <c r="F18" i="4"/>
  <c r="E18" i="4"/>
  <c r="L28" i="4"/>
  <c r="L27" i="4"/>
  <c r="L26" i="4"/>
  <c r="L25" i="4"/>
  <c r="L24" i="4"/>
  <c r="L23" i="4"/>
  <c r="L22" i="4"/>
  <c r="L21" i="4"/>
  <c r="L20" i="4"/>
  <c r="L19" i="4"/>
  <c r="J28" i="4"/>
  <c r="J27" i="4"/>
  <c r="J26" i="4"/>
  <c r="J25" i="4"/>
  <c r="J24" i="4"/>
  <c r="J23" i="4"/>
  <c r="J22" i="4"/>
  <c r="J21" i="4"/>
  <c r="J20" i="4"/>
  <c r="J19" i="4"/>
  <c r="D18" i="4"/>
  <c r="H19" i="4"/>
  <c r="H28" i="4"/>
  <c r="H27" i="4"/>
  <c r="H26" i="4"/>
  <c r="H25" i="4"/>
  <c r="H24" i="4"/>
  <c r="H23" i="4"/>
  <c r="H22" i="4"/>
  <c r="H21" i="4"/>
  <c r="H20" i="4"/>
  <c r="U28" i="4"/>
  <c r="Q28" i="4"/>
  <c r="U27" i="4"/>
  <c r="Q27" i="4"/>
  <c r="U26" i="4"/>
  <c r="Q26" i="4"/>
  <c r="U25" i="4"/>
  <c r="Q25" i="4"/>
  <c r="U24" i="4"/>
  <c r="Q24" i="4"/>
  <c r="U23" i="4"/>
  <c r="Q23" i="4"/>
  <c r="U22" i="4"/>
  <c r="Q22" i="4"/>
  <c r="U21" i="4"/>
  <c r="Q21" i="4"/>
  <c r="U20" i="4"/>
  <c r="Q20" i="4"/>
  <c r="U19" i="4"/>
  <c r="Q19" i="4"/>
  <c r="U59" i="4"/>
  <c r="AG71" i="4"/>
  <c r="AG93" i="4" s="1"/>
  <c r="AF71" i="4"/>
  <c r="AF93" i="4" s="1"/>
  <c r="AE71" i="4"/>
  <c r="AE93" i="4" s="1"/>
  <c r="AD71" i="4"/>
  <c r="T71" i="4"/>
  <c r="U71" i="4"/>
  <c r="O71" i="4"/>
  <c r="N71" i="4"/>
  <c r="R71" i="4"/>
  <c r="Q71" i="4"/>
  <c r="K71" i="4"/>
  <c r="J71" i="4"/>
  <c r="H71" i="4"/>
  <c r="G71" i="4"/>
  <c r="F71" i="4"/>
  <c r="P71" i="4"/>
  <c r="D71" i="4"/>
  <c r="E71" i="4"/>
  <c r="R92" i="4"/>
  <c r="R91" i="4"/>
  <c r="R90" i="4"/>
  <c r="R89" i="4"/>
  <c r="R88" i="4"/>
  <c r="R87" i="4"/>
  <c r="R86" i="4"/>
  <c r="R85" i="4"/>
  <c r="R84" i="4"/>
  <c r="R83" i="4"/>
  <c r="R82" i="4"/>
  <c r="R81" i="4"/>
  <c r="R80" i="4"/>
  <c r="R79" i="4"/>
  <c r="R78" i="4"/>
  <c r="Q92" i="4"/>
  <c r="Q91" i="4"/>
  <c r="Q90" i="4"/>
  <c r="Q89" i="4"/>
  <c r="Q88" i="4"/>
  <c r="Q87" i="4"/>
  <c r="Q86" i="4"/>
  <c r="Q85" i="4"/>
  <c r="Q84" i="4"/>
  <c r="Q83" i="4"/>
  <c r="Q82" i="4"/>
  <c r="Q81" i="4"/>
  <c r="Q80" i="4"/>
  <c r="Q79" i="4"/>
  <c r="Q78" i="4"/>
  <c r="R70" i="4"/>
  <c r="Q70" i="4"/>
  <c r="R8" i="4"/>
  <c r="R36" i="4"/>
  <c r="R35" i="4"/>
  <c r="R34" i="4"/>
  <c r="R33" i="4"/>
  <c r="R32" i="4"/>
  <c r="R31" i="4"/>
  <c r="Q31" i="4"/>
  <c r="Q8" i="4"/>
  <c r="H92" i="4"/>
  <c r="H91" i="4"/>
  <c r="H90" i="4"/>
  <c r="J90" i="4" s="1"/>
  <c r="L90" i="4" s="1"/>
  <c r="H89" i="4"/>
  <c r="H88" i="4"/>
  <c r="H87" i="4"/>
  <c r="H86" i="4"/>
  <c r="H85" i="4"/>
  <c r="J85" i="4" s="1"/>
  <c r="L85" i="4" s="1"/>
  <c r="H84" i="4"/>
  <c r="J84" i="4" s="1"/>
  <c r="L84" i="4" s="1"/>
  <c r="H83" i="4"/>
  <c r="H82" i="4"/>
  <c r="J82" i="4" s="1"/>
  <c r="L82" i="4" s="1"/>
  <c r="H81" i="4"/>
  <c r="J81" i="4" s="1"/>
  <c r="L81" i="4" s="1"/>
  <c r="H80" i="4"/>
  <c r="H79" i="4"/>
  <c r="H78" i="4"/>
  <c r="J78" i="4" s="1"/>
  <c r="L78" i="4" s="1"/>
  <c r="H77" i="4"/>
  <c r="J77" i="4" s="1"/>
  <c r="L77" i="4" s="1"/>
  <c r="H76" i="4"/>
  <c r="H75" i="4"/>
  <c r="H74" i="4"/>
  <c r="H73" i="4"/>
  <c r="H72" i="4"/>
  <c r="J72" i="4" s="1"/>
  <c r="L72" i="4" s="1"/>
  <c r="H70" i="4"/>
  <c r="H69" i="4"/>
  <c r="H68" i="4"/>
  <c r="J68" i="4" s="1"/>
  <c r="L68" i="4" s="1"/>
  <c r="H67" i="4"/>
  <c r="H66" i="4"/>
  <c r="J66" i="4" s="1"/>
  <c r="L66" i="4" s="1"/>
  <c r="H65" i="4"/>
  <c r="J65" i="4" s="1"/>
  <c r="L65" i="4" s="1"/>
  <c r="H64" i="4"/>
  <c r="J64" i="4" s="1"/>
  <c r="L64" i="4" s="1"/>
  <c r="H63" i="4"/>
  <c r="H62" i="4"/>
  <c r="H61" i="4"/>
  <c r="J61" i="4" s="1"/>
  <c r="L61" i="4" s="1"/>
  <c r="H60" i="4"/>
  <c r="J60" i="4" s="1"/>
  <c r="L60" i="4" s="1"/>
  <c r="H59" i="4"/>
  <c r="J59" i="4" s="1"/>
  <c r="L59" i="4" s="1"/>
  <c r="H56" i="4"/>
  <c r="J56" i="4" s="1"/>
  <c r="L56" i="4" s="1"/>
  <c r="H55" i="4"/>
  <c r="H54" i="4"/>
  <c r="J54" i="4" s="1"/>
  <c r="L54" i="4" s="1"/>
  <c r="H36" i="4"/>
  <c r="J36" i="4" s="1"/>
  <c r="L36" i="4" s="1"/>
  <c r="H35" i="4"/>
  <c r="J35" i="4" s="1"/>
  <c r="L35" i="4" s="1"/>
  <c r="H34" i="4"/>
  <c r="J34" i="4" s="1"/>
  <c r="L34" i="4" s="1"/>
  <c r="H33" i="4"/>
  <c r="J33" i="4" s="1"/>
  <c r="L33" i="4" s="1"/>
  <c r="H32" i="4"/>
  <c r="J32" i="4" s="1"/>
  <c r="L32" i="4" s="1"/>
  <c r="H31" i="4"/>
  <c r="J31" i="4" s="1"/>
  <c r="L31" i="4" s="1"/>
  <c r="H17" i="4"/>
  <c r="H16" i="4"/>
  <c r="J16" i="4" s="1"/>
  <c r="L16" i="4" s="1"/>
  <c r="H15" i="4"/>
  <c r="H14" i="4"/>
  <c r="J14" i="4" s="1"/>
  <c r="L14" i="4" s="1"/>
  <c r="H13" i="4"/>
  <c r="J13" i="4" s="1"/>
  <c r="L13" i="4" s="1"/>
  <c r="H12" i="4"/>
  <c r="J12" i="4" s="1"/>
  <c r="L12" i="4" s="1"/>
  <c r="H11" i="4"/>
  <c r="J11" i="4" s="1"/>
  <c r="L11" i="4" s="1"/>
  <c r="H10" i="4"/>
  <c r="J10" i="4" s="1"/>
  <c r="L10" i="4" s="1"/>
  <c r="H9" i="4"/>
  <c r="J9" i="4" s="1"/>
  <c r="L9" i="4" s="1"/>
  <c r="H8" i="4"/>
  <c r="J69" i="4"/>
  <c r="L69" i="4" s="1"/>
  <c r="J55" i="4"/>
  <c r="L55" i="4" s="1"/>
  <c r="J17" i="4"/>
  <c r="L17" i="4" s="1"/>
  <c r="J8" i="4"/>
  <c r="L8" i="4" s="1"/>
  <c r="J70" i="4"/>
  <c r="L70" i="4" s="1"/>
  <c r="J67" i="4"/>
  <c r="L67" i="4" s="1"/>
  <c r="J63" i="4"/>
  <c r="L63" i="4" s="1"/>
  <c r="J62" i="4"/>
  <c r="L62" i="4" s="1"/>
  <c r="J15" i="4"/>
  <c r="L15" i="4" s="1"/>
  <c r="J92" i="4"/>
  <c r="L92" i="4" s="1"/>
  <c r="J91" i="4"/>
  <c r="L91" i="4" s="1"/>
  <c r="J83" i="4"/>
  <c r="L83" i="4" s="1"/>
  <c r="U92" i="4"/>
  <c r="U91" i="4"/>
  <c r="U90" i="4"/>
  <c r="U89" i="4"/>
  <c r="U88" i="4"/>
  <c r="U87" i="4"/>
  <c r="U86" i="4"/>
  <c r="U85" i="4"/>
  <c r="U84" i="4"/>
  <c r="U83" i="4"/>
  <c r="U82" i="4"/>
  <c r="U81" i="4"/>
  <c r="U80" i="4"/>
  <c r="U79" i="4"/>
  <c r="U78" i="4"/>
  <c r="W36" i="3" l="1"/>
  <c r="P36" i="3"/>
  <c r="I35" i="3"/>
  <c r="K35" i="3" s="1"/>
  <c r="M35" i="3" s="1"/>
  <c r="R18" i="3"/>
  <c r="O36" i="3"/>
  <c r="R36" i="3" s="1"/>
  <c r="M11" i="3"/>
  <c r="J8" i="17"/>
  <c r="L8" i="17" s="1"/>
  <c r="R7" i="17"/>
  <c r="J37" i="4"/>
  <c r="L37" i="4"/>
  <c r="J86" i="4"/>
  <c r="L86" i="4" s="1"/>
  <c r="J80" i="4"/>
  <c r="L80" i="4" s="1"/>
  <c r="J79" i="4"/>
  <c r="L79" i="4" s="1"/>
  <c r="J87" i="4"/>
  <c r="L87" i="4" s="1"/>
  <c r="J89" i="4"/>
  <c r="L89" i="4" s="1"/>
  <c r="J88" i="4"/>
  <c r="L88" i="4" s="1"/>
  <c r="V7" i="2" l="1"/>
  <c r="AD93" i="4" l="1"/>
  <c r="P93" i="4" l="1"/>
  <c r="O93" i="4"/>
  <c r="N93" i="4"/>
  <c r="Q72" i="4"/>
  <c r="P9" i="2"/>
  <c r="Q11" i="2"/>
  <c r="Q10" i="2"/>
  <c r="Q9" i="2"/>
  <c r="T11" i="2"/>
  <c r="R9" i="2"/>
  <c r="O9" i="2"/>
  <c r="N9" i="2"/>
  <c r="E9" i="2"/>
  <c r="D9" i="2"/>
  <c r="AF12" i="2"/>
  <c r="AG12" i="2"/>
  <c r="AE12" i="2"/>
  <c r="K12" i="2"/>
  <c r="G12" i="2"/>
  <c r="F12" i="2"/>
  <c r="Q93" i="4" l="1"/>
  <c r="T93" i="4"/>
  <c r="T9" i="2" l="1"/>
  <c r="Q9" i="17" l="1"/>
  <c r="AD11" i="2"/>
  <c r="AD9" i="2" s="1"/>
  <c r="L9" i="17"/>
  <c r="J9" i="17" s="1"/>
  <c r="D93" i="4"/>
  <c r="L71" i="4" l="1"/>
  <c r="E93" i="4"/>
  <c r="R9" i="17"/>
  <c r="M9" i="17"/>
  <c r="U76" i="4"/>
  <c r="Q76" i="4"/>
  <c r="J76" i="4"/>
  <c r="L76" i="4" s="1"/>
  <c r="H93" i="4" l="1"/>
  <c r="U93" i="4"/>
  <c r="R76" i="4"/>
  <c r="J74" i="4"/>
  <c r="L74" i="4" s="1"/>
  <c r="J73" i="4"/>
  <c r="L73" i="4" s="1"/>
  <c r="Q77" i="4"/>
  <c r="Q75" i="4"/>
  <c r="Q74" i="4"/>
  <c r="Q73" i="4"/>
  <c r="U31" i="4"/>
  <c r="R11" i="3"/>
  <c r="R10" i="3"/>
  <c r="R9" i="3"/>
  <c r="R8" i="3"/>
  <c r="J93" i="4" l="1"/>
  <c r="L93" i="4" s="1"/>
  <c r="R93" i="4"/>
  <c r="R75" i="4"/>
  <c r="R72" i="4"/>
  <c r="R73" i="4"/>
  <c r="R74" i="4"/>
  <c r="R77" i="4"/>
  <c r="J75" i="4"/>
  <c r="L75" i="4" s="1"/>
  <c r="U75" i="4"/>
  <c r="U77" i="4"/>
  <c r="U74" i="4"/>
  <c r="U73" i="4"/>
  <c r="U72" i="4"/>
  <c r="T29" i="4" l="1"/>
  <c r="D29" i="4"/>
  <c r="Y18" i="3"/>
  <c r="AA18" i="3"/>
  <c r="J29" i="4" l="1"/>
  <c r="L29" i="4" s="1"/>
  <c r="AG57" i="4"/>
  <c r="AF57" i="4"/>
  <c r="AE57" i="4"/>
  <c r="T57" i="4"/>
  <c r="P57" i="4"/>
  <c r="O57" i="4"/>
  <c r="N57" i="4"/>
  <c r="Q57" i="4" s="1"/>
  <c r="E57" i="4"/>
  <c r="H57" i="4" s="1"/>
  <c r="J57" i="4" s="1"/>
  <c r="L57" i="4" s="1"/>
  <c r="D57" i="4"/>
  <c r="AG52" i="4"/>
  <c r="AF52" i="4"/>
  <c r="AE52" i="4"/>
  <c r="AG29" i="4"/>
  <c r="AF29" i="4"/>
  <c r="AE29" i="4"/>
  <c r="Q69" i="4" l="1"/>
  <c r="Q68" i="4"/>
  <c r="Q67" i="4"/>
  <c r="Q66" i="4"/>
  <c r="Q65" i="4"/>
  <c r="Q64" i="4"/>
  <c r="Q63" i="4"/>
  <c r="Q62" i="4"/>
  <c r="Q61" i="4"/>
  <c r="Q60" i="4"/>
  <c r="Q59" i="4"/>
  <c r="Q56" i="4"/>
  <c r="Q55" i="4"/>
  <c r="Q54" i="4"/>
  <c r="Q36" i="4"/>
  <c r="Q35" i="4"/>
  <c r="Q34" i="4"/>
  <c r="Q33" i="4"/>
  <c r="Q32" i="4"/>
  <c r="P52" i="4"/>
  <c r="O52" i="4"/>
  <c r="N52" i="4"/>
  <c r="E52" i="4"/>
  <c r="H52" i="4" s="1"/>
  <c r="P29" i="4"/>
  <c r="Q9" i="4"/>
  <c r="Q17" i="4"/>
  <c r="Q16" i="4"/>
  <c r="Q15" i="4"/>
  <c r="Q14" i="4"/>
  <c r="Q13" i="4"/>
  <c r="Q12" i="4"/>
  <c r="Q11" i="4"/>
  <c r="Q10" i="4"/>
  <c r="O29" i="4"/>
  <c r="N29" i="4"/>
  <c r="Q52" i="4" l="1"/>
  <c r="R52" i="4" s="1"/>
  <c r="J52" i="4"/>
  <c r="L52" i="4" s="1"/>
  <c r="Q29" i="4"/>
  <c r="R29" i="4" s="1"/>
  <c r="N94" i="4"/>
  <c r="N8" i="2" s="1"/>
  <c r="O94" i="4"/>
  <c r="O8" i="2" s="1"/>
  <c r="J14" i="1" l="1"/>
  <c r="J13" i="1"/>
  <c r="P94" i="4"/>
  <c r="AC18" i="3"/>
  <c r="U18" i="3"/>
  <c r="AA35" i="3"/>
  <c r="AA36" i="3" s="1"/>
  <c r="Y35" i="3"/>
  <c r="Y36" i="3" s="1"/>
  <c r="U35" i="3"/>
  <c r="V35" i="3" s="1"/>
  <c r="P7" i="2"/>
  <c r="I15" i="1" s="1"/>
  <c r="R24" i="3"/>
  <c r="S24" i="3" s="1"/>
  <c r="R23" i="3"/>
  <c r="R22" i="3"/>
  <c r="R21" i="3"/>
  <c r="R20" i="3"/>
  <c r="O7" i="2"/>
  <c r="I14" i="1" s="1"/>
  <c r="E35" i="3"/>
  <c r="F18" i="3"/>
  <c r="AD24" i="3"/>
  <c r="AC23" i="3"/>
  <c r="AD23" i="3" s="1"/>
  <c r="AC22" i="3"/>
  <c r="AD22" i="3" s="1"/>
  <c r="AC21" i="3"/>
  <c r="AD21" i="3" s="1"/>
  <c r="AC20" i="3"/>
  <c r="AD20" i="3" s="1"/>
  <c r="AC11" i="3"/>
  <c r="AD11" i="3" s="1"/>
  <c r="AC10" i="3"/>
  <c r="AD10" i="3" s="1"/>
  <c r="AC9" i="3"/>
  <c r="AD9" i="3" s="1"/>
  <c r="AC8" i="3"/>
  <c r="AD8" i="3" s="1"/>
  <c r="AB24" i="3"/>
  <c r="AB23" i="3"/>
  <c r="AB22" i="3"/>
  <c r="AB21" i="3"/>
  <c r="AB20" i="3"/>
  <c r="AB11" i="3"/>
  <c r="AB10" i="3"/>
  <c r="AB9" i="3"/>
  <c r="AB8" i="3"/>
  <c r="Z8" i="3"/>
  <c r="Z24" i="3"/>
  <c r="Z23" i="3"/>
  <c r="Z22" i="3"/>
  <c r="Z21" i="3"/>
  <c r="Z20" i="3"/>
  <c r="Z11" i="3"/>
  <c r="Z10" i="3"/>
  <c r="Z9" i="3"/>
  <c r="X24" i="3"/>
  <c r="X23" i="3"/>
  <c r="X22" i="3"/>
  <c r="X21" i="3"/>
  <c r="X20" i="3"/>
  <c r="X11" i="3"/>
  <c r="X10" i="3"/>
  <c r="X9" i="3"/>
  <c r="V24" i="3"/>
  <c r="V23" i="3"/>
  <c r="V22" i="3"/>
  <c r="V21" i="3"/>
  <c r="V11" i="3"/>
  <c r="V10" i="3"/>
  <c r="V9" i="3"/>
  <c r="X7" i="2" l="1"/>
  <c r="Z7" i="2"/>
  <c r="Z12" i="2" s="1"/>
  <c r="AB18" i="3"/>
  <c r="X18" i="3"/>
  <c r="F36" i="3"/>
  <c r="V18" i="3"/>
  <c r="O12" i="2"/>
  <c r="H14" i="1" s="1"/>
  <c r="Q94" i="4"/>
  <c r="P8" i="2"/>
  <c r="R35" i="3"/>
  <c r="S35" i="3" s="1"/>
  <c r="U36" i="3"/>
  <c r="T7" i="2" s="1"/>
  <c r="AD18" i="3"/>
  <c r="AC35" i="3"/>
  <c r="AD35" i="3" s="1"/>
  <c r="Z35" i="3"/>
  <c r="Z18" i="3"/>
  <c r="AB35" i="3"/>
  <c r="I36" i="3" l="1"/>
  <c r="K36" i="3" s="1"/>
  <c r="M36" i="3" s="1"/>
  <c r="V36" i="3"/>
  <c r="N7" i="2"/>
  <c r="I17" i="1"/>
  <c r="E7" i="2"/>
  <c r="P12" i="2"/>
  <c r="H15" i="1" s="1"/>
  <c r="J15" i="1"/>
  <c r="Q8" i="2"/>
  <c r="X35" i="3"/>
  <c r="U11" i="2"/>
  <c r="U10" i="2"/>
  <c r="U9" i="2"/>
  <c r="J11" i="2"/>
  <c r="L11" i="2" s="1"/>
  <c r="J10" i="2"/>
  <c r="L10" i="2" s="1"/>
  <c r="S36" i="3" l="1"/>
  <c r="X36" i="3"/>
  <c r="X12" i="2"/>
  <c r="Q7" i="2"/>
  <c r="Q12" i="2" s="1"/>
  <c r="I13" i="1"/>
  <c r="N12" i="2"/>
  <c r="H13" i="1" s="1"/>
  <c r="W7" i="2"/>
  <c r="Y7" i="2"/>
  <c r="AA7" i="2"/>
  <c r="U7" i="2"/>
  <c r="J9" i="2"/>
  <c r="R10" i="2"/>
  <c r="R11" i="2"/>
  <c r="V12" i="2" l="1"/>
  <c r="AB12" i="2" s="1"/>
  <c r="AB7" i="2"/>
  <c r="AC7" i="2" s="1"/>
  <c r="I18" i="1"/>
  <c r="H18" i="1"/>
  <c r="R7" i="2"/>
  <c r="J7" i="2"/>
  <c r="L9" i="2"/>
  <c r="L7" i="2" l="1"/>
  <c r="T52" i="4" l="1"/>
  <c r="U68" i="4" l="1"/>
  <c r="U69" i="4"/>
  <c r="U54" i="4"/>
  <c r="U55" i="4"/>
  <c r="U56" i="4"/>
  <c r="R54" i="4"/>
  <c r="R55" i="4"/>
  <c r="R56" i="4"/>
  <c r="AD57" i="4"/>
  <c r="T94" i="4" l="1"/>
  <c r="T8" i="2" s="1"/>
  <c r="U57" i="4"/>
  <c r="R57" i="4"/>
  <c r="U52" i="4"/>
  <c r="D52" i="4"/>
  <c r="U37" i="4"/>
  <c r="U36" i="4"/>
  <c r="U34" i="4"/>
  <c r="U33" i="4"/>
  <c r="U32" i="4"/>
  <c r="J17" i="1" l="1"/>
  <c r="T12" i="2"/>
  <c r="AD52" i="4"/>
  <c r="U29" i="4"/>
  <c r="U17" i="4"/>
  <c r="R17" i="4"/>
  <c r="U16" i="4"/>
  <c r="R16" i="4"/>
  <c r="R15" i="4"/>
  <c r="U15" i="4"/>
  <c r="U14" i="4"/>
  <c r="R14" i="4"/>
  <c r="U13" i="4"/>
  <c r="R13" i="4"/>
  <c r="U12" i="4"/>
  <c r="R12" i="4"/>
  <c r="U11" i="4"/>
  <c r="R11" i="4"/>
  <c r="U10" i="4"/>
  <c r="R10" i="4"/>
  <c r="U9" i="4"/>
  <c r="R9" i="4"/>
  <c r="U8" i="4"/>
  <c r="U70" i="4"/>
  <c r="U67" i="4"/>
  <c r="U66" i="4"/>
  <c r="U65" i="4"/>
  <c r="U64" i="4"/>
  <c r="U63" i="4"/>
  <c r="U62" i="4"/>
  <c r="U61" i="4"/>
  <c r="U60" i="4"/>
  <c r="R60" i="4"/>
  <c r="R59" i="4"/>
  <c r="R61" i="4"/>
  <c r="R62" i="4"/>
  <c r="R63" i="4"/>
  <c r="R65" i="4"/>
  <c r="R64" i="4"/>
  <c r="R66" i="4"/>
  <c r="R67" i="4"/>
  <c r="R68" i="4"/>
  <c r="R69" i="4"/>
  <c r="H17" i="1" l="1"/>
  <c r="AG94" i="4"/>
  <c r="AF94" i="4"/>
  <c r="AE94" i="4"/>
  <c r="D94" i="4"/>
  <c r="D8" i="2" s="1"/>
  <c r="AD29" i="4"/>
  <c r="AD94" i="4" s="1"/>
  <c r="AD8" i="2" s="1"/>
  <c r="E94" i="4" l="1"/>
  <c r="E18" i="3"/>
  <c r="E36" i="3" l="1"/>
  <c r="D7" i="2" s="1"/>
  <c r="D12" i="2" s="1"/>
  <c r="E8" i="2"/>
  <c r="U8" i="2" s="1"/>
  <c r="H94" i="4"/>
  <c r="J94" i="4" s="1"/>
  <c r="L94" i="4" s="1"/>
  <c r="AE35" i="3"/>
  <c r="U94" i="4"/>
  <c r="AB36" i="3"/>
  <c r="E12" i="2" l="1"/>
  <c r="M82" i="4"/>
  <c r="M57" i="4"/>
  <c r="M29" i="4"/>
  <c r="I8" i="4"/>
  <c r="M81" i="4"/>
  <c r="M69" i="4"/>
  <c r="M56" i="4"/>
  <c r="M18" i="4"/>
  <c r="M90" i="4"/>
  <c r="M66" i="4"/>
  <c r="M8" i="4"/>
  <c r="M92" i="4"/>
  <c r="M80" i="4"/>
  <c r="M68" i="4"/>
  <c r="M55" i="4"/>
  <c r="M17" i="4"/>
  <c r="M91" i="4"/>
  <c r="M79" i="4"/>
  <c r="M67" i="4"/>
  <c r="M54" i="4"/>
  <c r="M16" i="4"/>
  <c r="M78" i="4"/>
  <c r="M52" i="4"/>
  <c r="M83" i="4"/>
  <c r="M89" i="4"/>
  <c r="M77" i="4"/>
  <c r="M65" i="4"/>
  <c r="M37" i="4"/>
  <c r="M14" i="4"/>
  <c r="M87" i="4"/>
  <c r="M75" i="4"/>
  <c r="M12" i="4"/>
  <c r="M73" i="4"/>
  <c r="M33" i="4"/>
  <c r="M72" i="4"/>
  <c r="M32" i="4"/>
  <c r="M59" i="4"/>
  <c r="M88" i="4"/>
  <c r="M76" i="4"/>
  <c r="M64" i="4"/>
  <c r="M36" i="4"/>
  <c r="M13" i="4"/>
  <c r="M63" i="4"/>
  <c r="M35" i="4"/>
  <c r="M85" i="4"/>
  <c r="M61" i="4"/>
  <c r="M84" i="4"/>
  <c r="M9" i="4"/>
  <c r="M31" i="4"/>
  <c r="M86" i="4"/>
  <c r="M74" i="4"/>
  <c r="M62" i="4"/>
  <c r="M34" i="4"/>
  <c r="M11" i="4"/>
  <c r="M10" i="4"/>
  <c r="M60" i="4"/>
  <c r="M71" i="4"/>
  <c r="M93" i="4"/>
  <c r="M94" i="4"/>
  <c r="I84" i="4"/>
  <c r="I82" i="4"/>
  <c r="I78" i="4"/>
  <c r="I79" i="4"/>
  <c r="I81" i="4"/>
  <c r="I89" i="4"/>
  <c r="I91" i="4"/>
  <c r="I87" i="4"/>
  <c r="I90" i="4"/>
  <c r="I86" i="4"/>
  <c r="I83" i="4"/>
  <c r="I80" i="4"/>
  <c r="I85" i="4"/>
  <c r="I92" i="4"/>
  <c r="I88" i="4"/>
  <c r="I93" i="4"/>
  <c r="M10" i="2"/>
  <c r="M11" i="2"/>
  <c r="M9" i="2"/>
  <c r="M7" i="2"/>
  <c r="I73" i="4"/>
  <c r="I76" i="4"/>
  <c r="I35" i="4"/>
  <c r="I71" i="4"/>
  <c r="Y12" i="2"/>
  <c r="I74" i="4"/>
  <c r="I72" i="4"/>
  <c r="W12" i="2"/>
  <c r="I77" i="4"/>
  <c r="I75" i="4"/>
  <c r="AA12" i="2"/>
  <c r="AC12" i="2"/>
  <c r="I34" i="4"/>
  <c r="U12" i="2"/>
  <c r="R8" i="2"/>
  <c r="J8" i="2"/>
  <c r="I8" i="2"/>
  <c r="AE36" i="3"/>
  <c r="AD7" i="2" s="1"/>
  <c r="AD12" i="2" s="1"/>
  <c r="R94" i="4"/>
  <c r="I94" i="4"/>
  <c r="Z36" i="3"/>
  <c r="AC36" i="3"/>
  <c r="AD36" i="3" s="1"/>
  <c r="N11" i="3" l="1"/>
  <c r="N14" i="3"/>
  <c r="N13" i="3"/>
  <c r="N12" i="3"/>
  <c r="J17" i="3"/>
  <c r="J16" i="3"/>
  <c r="J15" i="3"/>
  <c r="N17" i="3"/>
  <c r="J14" i="3"/>
  <c r="J13" i="3"/>
  <c r="J12" i="3"/>
  <c r="N16" i="3"/>
  <c r="N15" i="3"/>
  <c r="J18" i="3"/>
  <c r="N8" i="3"/>
  <c r="N36" i="3"/>
  <c r="J8" i="3"/>
  <c r="N35" i="3"/>
  <c r="J36" i="3"/>
  <c r="N24" i="3"/>
  <c r="J35" i="3"/>
  <c r="N23" i="3"/>
  <c r="J24" i="3"/>
  <c r="I8" i="17"/>
  <c r="N22" i="3"/>
  <c r="J23" i="3"/>
  <c r="N21" i="3"/>
  <c r="J22" i="3"/>
  <c r="N20" i="3"/>
  <c r="J21" i="3"/>
  <c r="N18" i="3"/>
  <c r="J20" i="3"/>
  <c r="N9" i="3"/>
  <c r="N10" i="3"/>
  <c r="M7" i="17"/>
  <c r="M8" i="17"/>
  <c r="M43" i="4"/>
  <c r="I50" i="4"/>
  <c r="I38" i="4"/>
  <c r="I18" i="4"/>
  <c r="M42" i="4"/>
  <c r="I49" i="4"/>
  <c r="M41" i="4"/>
  <c r="I48" i="4"/>
  <c r="M44" i="4"/>
  <c r="M40" i="4"/>
  <c r="I47" i="4"/>
  <c r="I51" i="4"/>
  <c r="M51" i="4"/>
  <c r="M39" i="4"/>
  <c r="I46" i="4"/>
  <c r="M50" i="4"/>
  <c r="M38" i="4"/>
  <c r="I45" i="4"/>
  <c r="M49" i="4"/>
  <c r="I44" i="4"/>
  <c r="M48" i="4"/>
  <c r="I43" i="4"/>
  <c r="M47" i="4"/>
  <c r="I42" i="4"/>
  <c r="M46" i="4"/>
  <c r="I41" i="4"/>
  <c r="M45" i="4"/>
  <c r="I40" i="4"/>
  <c r="I39" i="4"/>
  <c r="M24" i="4"/>
  <c r="M21" i="4"/>
  <c r="M23" i="4"/>
  <c r="M22" i="4"/>
  <c r="M20" i="4"/>
  <c r="M19" i="4"/>
  <c r="M28" i="4"/>
  <c r="M27" i="4"/>
  <c r="M26" i="4"/>
  <c r="M25" i="4"/>
  <c r="I19" i="4"/>
  <c r="I28" i="4"/>
  <c r="I27" i="4"/>
  <c r="I26" i="4"/>
  <c r="I25" i="4"/>
  <c r="I24" i="4"/>
  <c r="I23" i="4"/>
  <c r="I22" i="4"/>
  <c r="I21" i="4"/>
  <c r="I20" i="4"/>
  <c r="I29" i="4"/>
  <c r="M15" i="4"/>
  <c r="M70" i="4"/>
  <c r="I7" i="2"/>
  <c r="I11" i="2"/>
  <c r="L8" i="2"/>
  <c r="J12" i="2"/>
  <c r="J9" i="3"/>
  <c r="J11" i="3"/>
  <c r="J10" i="3"/>
  <c r="I55" i="4"/>
  <c r="I56" i="4"/>
  <c r="I54" i="4"/>
  <c r="I33" i="4"/>
  <c r="I52" i="4"/>
  <c r="I31" i="4"/>
  <c r="I36" i="4"/>
  <c r="I57" i="4"/>
  <c r="I37" i="4"/>
  <c r="I32" i="4"/>
  <c r="I70" i="4"/>
  <c r="I62" i="4"/>
  <c r="I61" i="4"/>
  <c r="I12" i="4"/>
  <c r="I17" i="4"/>
  <c r="I13" i="4"/>
  <c r="I16" i="4"/>
  <c r="I68" i="4"/>
  <c r="I66" i="4"/>
  <c r="I10" i="4"/>
  <c r="I67" i="4"/>
  <c r="I14" i="4"/>
  <c r="I11" i="4"/>
  <c r="I64" i="4"/>
  <c r="I15" i="4"/>
  <c r="I65" i="4"/>
  <c r="I9" i="4"/>
  <c r="I63" i="4"/>
  <c r="I59" i="4"/>
  <c r="I69" i="4"/>
  <c r="I60" i="4"/>
  <c r="T29" i="3" l="1"/>
  <c r="T35" i="3"/>
  <c r="T23" i="3"/>
  <c r="T36" i="3"/>
  <c r="T22" i="3"/>
  <c r="T24" i="3"/>
  <c r="T34" i="3"/>
  <c r="T26" i="3"/>
  <c r="T28" i="3"/>
  <c r="T32" i="3"/>
  <c r="T33" i="3"/>
  <c r="T31" i="3"/>
  <c r="T30" i="3"/>
  <c r="T27" i="3"/>
  <c r="T25" i="3"/>
  <c r="T11" i="3"/>
  <c r="T9" i="3"/>
  <c r="T8" i="3"/>
  <c r="T18" i="3"/>
  <c r="T17" i="3"/>
  <c r="T16" i="3"/>
  <c r="T15" i="3"/>
  <c r="T14" i="3"/>
  <c r="T13" i="3"/>
  <c r="T12" i="3"/>
  <c r="S37" i="4"/>
  <c r="T20" i="3"/>
  <c r="S8" i="17"/>
  <c r="S49" i="4"/>
  <c r="S25" i="4"/>
  <c r="S48" i="4"/>
  <c r="S24" i="4"/>
  <c r="S47" i="4"/>
  <c r="S23" i="4"/>
  <c r="S46" i="4"/>
  <c r="S22" i="4"/>
  <c r="S45" i="4"/>
  <c r="S21" i="4"/>
  <c r="S26" i="4"/>
  <c r="S44" i="4"/>
  <c r="S20" i="4"/>
  <c r="S38" i="4"/>
  <c r="S43" i="4"/>
  <c r="S19" i="4"/>
  <c r="S42" i="4"/>
  <c r="S41" i="4"/>
  <c r="S50" i="4"/>
  <c r="S51" i="4"/>
  <c r="S40" i="4"/>
  <c r="S28" i="4"/>
  <c r="S39" i="4"/>
  <c r="S27" i="4"/>
  <c r="S52" i="4"/>
  <c r="S59" i="4"/>
  <c r="S8" i="2"/>
  <c r="S70" i="4"/>
  <c r="S29" i="4"/>
  <c r="S8" i="4"/>
  <c r="S86" i="4"/>
  <c r="S91" i="4"/>
  <c r="S81" i="4"/>
  <c r="S92" i="4"/>
  <c r="S87" i="4"/>
  <c r="S90" i="4"/>
  <c r="S80" i="4"/>
  <c r="S85" i="4"/>
  <c r="S84" i="4"/>
  <c r="S79" i="4"/>
  <c r="S78" i="4"/>
  <c r="S82" i="4"/>
  <c r="S83" i="4"/>
  <c r="S88" i="4"/>
  <c r="S89" i="4"/>
  <c r="S93" i="4"/>
  <c r="S7" i="2"/>
  <c r="M8" i="2"/>
  <c r="L12" i="2"/>
  <c r="M12" i="2" s="1"/>
  <c r="S72" i="4"/>
  <c r="T10" i="3"/>
  <c r="S76" i="4"/>
  <c r="S75" i="4"/>
  <c r="S11" i="2"/>
  <c r="S77" i="4"/>
  <c r="S73" i="4"/>
  <c r="S74" i="4"/>
  <c r="T21" i="3"/>
  <c r="S55" i="4"/>
  <c r="S56" i="4"/>
  <c r="S54" i="4"/>
  <c r="S57" i="4"/>
  <c r="S31" i="4"/>
  <c r="S34" i="4"/>
  <c r="S35" i="4"/>
  <c r="S33" i="4"/>
  <c r="S36" i="4"/>
  <c r="S32" i="4"/>
  <c r="S64" i="4"/>
  <c r="S15" i="4"/>
  <c r="S67" i="4"/>
  <c r="S10" i="4"/>
  <c r="S69" i="4"/>
  <c r="S14" i="4"/>
  <c r="S13" i="4"/>
  <c r="S61" i="4"/>
  <c r="S65" i="4"/>
  <c r="S9" i="4"/>
  <c r="S66" i="4"/>
  <c r="S12" i="4"/>
  <c r="S16" i="4"/>
  <c r="S68" i="4"/>
  <c r="S11" i="4"/>
  <c r="S60" i="4"/>
  <c r="S62" i="4"/>
  <c r="S63" i="4"/>
  <c r="S17" i="4"/>
  <c r="S18" i="4"/>
  <c r="S71" i="4"/>
  <c r="I12" i="2"/>
  <c r="S94" i="4"/>
  <c r="S12" i="2" l="1"/>
</calcChain>
</file>

<file path=xl/sharedStrings.xml><?xml version="1.0" encoding="utf-8"?>
<sst xmlns="http://schemas.openxmlformats.org/spreadsheetml/2006/main" count="727" uniqueCount="277">
  <si>
    <t>Declaration: The Listed entity is required to submit the following declaration to the extent of submission of information:-</t>
  </si>
  <si>
    <t>S.No.</t>
  </si>
  <si>
    <t>Particulars</t>
  </si>
  <si>
    <t>No</t>
  </si>
  <si>
    <t>Whether the Listed Entity has issued any partly paid up shares?</t>
  </si>
  <si>
    <t>-</t>
  </si>
  <si>
    <t>Whether the Listed Entity has any shares in locked-in?</t>
  </si>
  <si>
    <t>* If the Listed Entity selects the option ‘No’ for the questions above, the columns for the partly paid up shares, Outstanding Convertible Securities/Warrants, depository receipts, locked-in shares, No of shares pledged or otherwise encumbered by promoters, as applicable, shall not be displayed at the time of dissemination on the Stock Exchange website. Also wherever there is ‘No’ declared by Listed Entity in above table the values will be considered as ‘Zero’ by default on submission of the format of holding of specified securities.</t>
  </si>
  <si>
    <t>Shareholding Pattern under Regulation 31 of SEBI (Listing Obligations and Disclosure Requirements) Regulations, 2015</t>
  </si>
  <si>
    <t>Table I - Summary Statement holding of specified securities</t>
  </si>
  <si>
    <t>Category</t>
  </si>
  <si>
    <t>Category of shareholder</t>
  </si>
  <si>
    <t>No. of fully paid up equity shares held</t>
  </si>
  <si>
    <t>No. of Partly paid-up equity shares held</t>
  </si>
  <si>
    <t>Total nos. shares held</t>
  </si>
  <si>
    <t>Shareholding as a % of total no. of shares (calculated as per SCRR, 1957)</t>
  </si>
  <si>
    <t>Number of Voting Rights held in each class of securities</t>
  </si>
  <si>
    <t xml:space="preserve">Number of Locked in shares </t>
  </si>
  <si>
    <t>Number of equity shares held in dematerialized form</t>
  </si>
  <si>
    <t>No. of Voting Rights</t>
  </si>
  <si>
    <t>No. (a)</t>
  </si>
  <si>
    <t>As a % of total shares held (b)</t>
  </si>
  <si>
    <t>Total</t>
  </si>
  <si>
    <t>(I)</t>
  </si>
  <si>
    <t>(II)</t>
  </si>
  <si>
    <t>(III)</t>
  </si>
  <si>
    <t>(IV)</t>
  </si>
  <si>
    <t>(V)</t>
  </si>
  <si>
    <t>(VI)</t>
  </si>
  <si>
    <t>(VII) = (IV)+(V)+ (VI)</t>
  </si>
  <si>
    <t>(VIII) As a % of (A+B+C2)</t>
  </si>
  <si>
    <t>(IX)</t>
  </si>
  <si>
    <t>(XIV)</t>
  </si>
  <si>
    <t>Public Shares</t>
  </si>
  <si>
    <t>Non- Promoter- None Public</t>
  </si>
  <si>
    <t>Shares underlying DRs</t>
  </si>
  <si>
    <t>Shares held by Employee Trusts</t>
  </si>
  <si>
    <t>(A)</t>
  </si>
  <si>
    <t>(B)</t>
  </si>
  <si>
    <t>(C)</t>
  </si>
  <si>
    <t>No. of shares underlying Depository Receipts</t>
  </si>
  <si>
    <t>Number of
shareholders</t>
  </si>
  <si>
    <t xml:space="preserve">Promoter &amp; Promoter Group </t>
  </si>
  <si>
    <t>Table II - Statement showing shareholding pattern of the Promoter and Promoter Group</t>
  </si>
  <si>
    <t xml:space="preserve"> </t>
  </si>
  <si>
    <t>Category &amp; Name of shareholders</t>
  </si>
  <si>
    <t>Entity type i.e.
promoter
OR
promoter group entity (except promoter)</t>
  </si>
  <si>
    <t>PAN</t>
  </si>
  <si>
    <t>No. of Shareholders</t>
  </si>
  <si>
    <t xml:space="preserve">No. of Fully paid up equity shares held </t>
  </si>
  <si>
    <t>Partly paid-up equity shares held</t>
  </si>
  <si>
    <t xml:space="preserve">Total as a % of Total Voting Rights </t>
  </si>
  <si>
    <t>Indian</t>
  </si>
  <si>
    <t>(a)</t>
  </si>
  <si>
    <t>(b)</t>
  </si>
  <si>
    <t>(c)</t>
  </si>
  <si>
    <t>(d)</t>
  </si>
  <si>
    <t>Sub. Total (A)(1)</t>
  </si>
  <si>
    <t xml:space="preserve">Foreign </t>
  </si>
  <si>
    <t>Government</t>
  </si>
  <si>
    <t>Institutions</t>
  </si>
  <si>
    <t>(f)</t>
  </si>
  <si>
    <t>Sub. Total (A)(2)</t>
  </si>
  <si>
    <t>Total Shareholding of Promoter and Promoter Group (A)= (A)(1)+(A)(2)</t>
  </si>
  <si>
    <t xml:space="preserve">Details of Shares which remain unclaimed may be given here alongwith details such as number of shareholders, outstanding shares held in demat / unclaimed suspense account voting rights which are frozen etc.																			</t>
  </si>
  <si>
    <t>Note</t>
  </si>
  <si>
    <t>PAN would not be displyed on website of Stock Exchnage(s)</t>
  </si>
  <si>
    <t>The above format needs to be diclosed alongwith the name of following pesons- Institutions/ Non Institutions holding more than  1% of the total nunber of shares.</t>
  </si>
  <si>
    <t>With respect to the information pertaining to Depository Receipts, the same may be disclosed in the respective columns to the extent information available and the balance to be disclosed as held custodian.</t>
  </si>
  <si>
    <t>Shareholding (No. of shares) under</t>
  </si>
  <si>
    <t>Sub-category (i)</t>
  </si>
  <si>
    <t>Sub-category (ii)</t>
  </si>
  <si>
    <t>Sub-category (iii)</t>
  </si>
  <si>
    <t>Institutions (Domestic)</t>
  </si>
  <si>
    <t>Mutual Funds</t>
  </si>
  <si>
    <t>Alternate Investment Funds</t>
  </si>
  <si>
    <t>Banks</t>
  </si>
  <si>
    <t>(e)</t>
  </si>
  <si>
    <t>Insurance Companies</t>
  </si>
  <si>
    <t>(g)</t>
  </si>
  <si>
    <t>(h)</t>
  </si>
  <si>
    <t>Sovereign Wealth Funds</t>
  </si>
  <si>
    <t>(i)</t>
  </si>
  <si>
    <t>NBFCs registered with RBI</t>
  </si>
  <si>
    <t>(j)</t>
  </si>
  <si>
    <t>Other Financial Institutions</t>
  </si>
  <si>
    <t>(k)</t>
  </si>
  <si>
    <t>Sub. Total (B)(1)</t>
  </si>
  <si>
    <t>Institutions (Foreign)</t>
  </si>
  <si>
    <t>Foreign Direct Investment</t>
  </si>
  <si>
    <t>Foreign Venture Capital Investors</t>
  </si>
  <si>
    <t>Foreign Portfolio Investors Category I</t>
  </si>
  <si>
    <t>Foreign Portfolio Investors Category II</t>
  </si>
  <si>
    <t>Overseas Depositories (holding DRs) (balancing figure)</t>
  </si>
  <si>
    <t>Sub. Total (B)(2)</t>
  </si>
  <si>
    <t>Sub. Total (B)(3)</t>
  </si>
  <si>
    <t>Associate companies / Subsidiaries</t>
  </si>
  <si>
    <t>Directors and their relatives (excluding independent directors and nominee directors)</t>
  </si>
  <si>
    <t>Key Managerial Personnel</t>
  </si>
  <si>
    <t>Investor Education and Protection Fund (IEPF)</t>
  </si>
  <si>
    <t>Non Resident Indians (NRIs)</t>
  </si>
  <si>
    <t>Foreign Nationals</t>
  </si>
  <si>
    <t>Foreign Companies</t>
  </si>
  <si>
    <t>(l)</t>
  </si>
  <si>
    <t>Sub. Total (B)(4)</t>
  </si>
  <si>
    <t>Details of the shareholders acting as persons in Concert including their Shareholding ( No. and %)</t>
  </si>
  <si>
    <t xml:space="preserve">Details of Shares which remain unclaimed may be given here alongwith details such as number of shareholders, outstanding shares held in demat / unclaimed suspense account voting rights which are frozen etc.																		</t>
  </si>
  <si>
    <t>The above format needs to be disclosed along with the names of the shareholders holding 1% or more than 1% of shares of the listed entity. Column no. (XIII) is not applicable in the above format.</t>
  </si>
  <si>
    <t>W.r.t. the information pertaining to Depository Receipts, the same may be disclosed in the respective columns to the extent information available and the balance to be disclosed as held by custodian</t>
  </si>
  <si>
    <t>Categorization and disclosure of each shareholder category should be carried out in the order prescribed in the above format. If a shareholder is falling under more than one category, then the same shall be classified in the category falling first in the order prescribed in the above format. Shareholding under any of the categories shall be unique and will not be duplicated under multiple categories</t>
  </si>
  <si>
    <t>Sub-categorization of shares under column no. (XV) will be based on shareholding (no. of shares) under the following sub-categories</t>
  </si>
  <si>
    <t>Shareholders who have entered into shareholder agreement with the listed entity.</t>
  </si>
  <si>
    <t>Shareholders acting as persons in concert with promoters.</t>
  </si>
  <si>
    <t>( 1 )</t>
  </si>
  <si>
    <t>( 2 )</t>
  </si>
  <si>
    <t>( 3 )</t>
  </si>
  <si>
    <t>( 4 )</t>
  </si>
  <si>
    <t>( 5 )</t>
  </si>
  <si>
    <t>NIL</t>
  </si>
  <si>
    <t>Table IV - Statement showing shareholding pattern of the Non Promoter- Non Public shareholder</t>
  </si>
  <si>
    <t>Number of Locked in shares</t>
  </si>
  <si>
    <t>(XIII)</t>
  </si>
  <si>
    <t>Custodian/DR Holder</t>
  </si>
  <si>
    <t>Employees Benefit Trust (Under SEBI (Share Based Employee Benefit Regulation 2014)</t>
  </si>
  <si>
    <t>Total Non Promoter Non Public Shareholding (C)= (C)(1)+(C)(2)</t>
  </si>
  <si>
    <t>Table V - Statement showing details of significant beneficial owners</t>
  </si>
  <si>
    <t>Sr. No</t>
  </si>
  <si>
    <t>Details of the beneficial owner (I)</t>
  </si>
  <si>
    <t>Details of the registered owner (II)</t>
  </si>
  <si>
    <t>Particulars of the shares in which significant beneficial interest is held by the beneficial owner (III)</t>
  </si>
  <si>
    <t>Date of Creation / acquisition of significant beneficial interest (IV)</t>
  </si>
  <si>
    <t>NAME</t>
  </si>
  <si>
    <t>Nationality</t>
  </si>
  <si>
    <t>Name</t>
  </si>
  <si>
    <t>Number of shares</t>
  </si>
  <si>
    <t>Shareholding as a % of total no. of shares (calculated as per SCRR, 1957) As a % of (A+B+C2)</t>
  </si>
  <si>
    <t>Annexure B</t>
  </si>
  <si>
    <t>Table VI - Statement showing foreign ownership limits</t>
  </si>
  <si>
    <t>As on shareholding date</t>
  </si>
  <si>
    <t>As on the end of previous 1st quarter</t>
  </si>
  <si>
    <t>As on the end of previous 2nd quarter</t>
  </si>
  <si>
    <t>As on the end of previous 3rd quarter</t>
  </si>
  <si>
    <t>As on the end of previous 4th quarter</t>
  </si>
  <si>
    <t>Name of Listed Entity :</t>
  </si>
  <si>
    <t>Scrip Code/Name of Scrip/Class of Security :</t>
  </si>
  <si>
    <t>Total as a % (A+B+C)</t>
  </si>
  <si>
    <t>Class : Y</t>
  </si>
  <si>
    <t xml:space="preserve">Class X: EQUITY </t>
  </si>
  <si>
    <t xml:space="preserve">(A) </t>
  </si>
  <si>
    <t>Whether company has equity shares with differential voting rights?</t>
  </si>
  <si>
    <t xml:space="preserve"> (B) </t>
  </si>
  <si>
    <t xml:space="preserve"> (C)</t>
  </si>
  <si>
    <t xml:space="preserve">     II </t>
  </si>
  <si>
    <t xml:space="preserve">     III</t>
  </si>
  <si>
    <t xml:space="preserve">      I  </t>
  </si>
  <si>
    <t>Right to nominate a representative (i.e. Director) on the board of the listed entity.</t>
  </si>
  <si>
    <t>Total Public Shareholding  (B) = (B)(1)+(B)(2)+(B)(3)+(B)(4)</t>
  </si>
  <si>
    <t xml:space="preserve">     a) If under 31(1)(b) then indicate the report for Quarter ending</t>
  </si>
  <si>
    <t xml:space="preserve">     b) If under 31(1)(c) then indicate date of allotment/extinguishment</t>
  </si>
  <si>
    <t xml:space="preserve">Class : e.g. X </t>
  </si>
  <si>
    <t>Class : e.g. Y</t>
  </si>
  <si>
    <t>Whether the Listed Entity has issued any Convertible Securities ?</t>
  </si>
  <si>
    <t>Whether the Listed Entity has issued any Warrants ?</t>
  </si>
  <si>
    <t>Whether Listed Entity has granted any ESOPs, which are outstanding?</t>
  </si>
  <si>
    <t>Whether the Listed Entity has any shares against which depository receipts are issued?</t>
  </si>
  <si>
    <t>Whether any shares held by promoters are encumbered under "Pledged"?</t>
  </si>
  <si>
    <t>Whether any shares held by promoters are encumbered under "Non-Disposal Undertaking"?</t>
  </si>
  <si>
    <t>Whether any shares held by promoters are encumbered, other than by way of Pledge or NDU, if any?</t>
  </si>
  <si>
    <t>Whether the listed entity has any significant beneficial owner?</t>
  </si>
  <si>
    <t>Promoter and Promoter Group</t>
  </si>
  <si>
    <t>Public shareholder</t>
  </si>
  <si>
    <t>Non Promoter- Non Public</t>
  </si>
  <si>
    <t xml:space="preserve">No. Of Shares Underlying Outstanding convertible securities
</t>
  </si>
  <si>
    <t>(XA)</t>
  </si>
  <si>
    <t xml:space="preserve">No. of Shares Underlying Outstanding Warrants 
</t>
  </si>
  <si>
    <t>(XB)</t>
  </si>
  <si>
    <t>No. Of Outstanding ESOP Granted</t>
  </si>
  <si>
    <t>(XC)</t>
  </si>
  <si>
    <t xml:space="preserve">No. of Shares Underlying Outstanding convertible securities, No. of Warrants and ESOP etc.
</t>
  </si>
  <si>
    <t>(X) = (XA+XB+XC)</t>
  </si>
  <si>
    <t>Total No. of shares on fully diluted basis (including warrants, ESOP, Convertible Securities etc.)</t>
  </si>
  <si>
    <t>(XI)=(VII+X)</t>
  </si>
  <si>
    <t>Shareholding , as a % assuming full conversion of convertible securities ( as a percentage of diluted share capital)</t>
  </si>
  <si>
    <t>(XII)= (VII)+(X)
As a % of (A+B+C2)</t>
  </si>
  <si>
    <t xml:space="preserve">(XIII) </t>
  </si>
  <si>
    <t>Number of Shares pledged</t>
  </si>
  <si>
    <t>Non-Disposal Undertaking</t>
  </si>
  <si>
    <t>(XV)</t>
  </si>
  <si>
    <t>Other encumbrances, if any</t>
  </si>
  <si>
    <t>(XVI)</t>
  </si>
  <si>
    <t>(XVII) = (XIV+XV+XVI)</t>
  </si>
  <si>
    <t xml:space="preserve">Total Number of Shares encumbered </t>
  </si>
  <si>
    <t xml:space="preserve">Number of equity shares held in dematerialized form </t>
  </si>
  <si>
    <t>(XVIII)</t>
  </si>
  <si>
    <t>Sub-categorization of shares
(XIX)</t>
  </si>
  <si>
    <t>Yes/No</t>
  </si>
  <si>
    <t>Details of Shares which remain unclaimed for Promoter &amp; Promoter Group</t>
  </si>
  <si>
    <t>Sr. No.</t>
  </si>
  <si>
    <t>Number of shareholders</t>
  </si>
  <si>
    <t>Outstanding shares held in demat or unclaimed suspense account</t>
  </si>
  <si>
    <t>Voting rights which are frozen</t>
  </si>
  <si>
    <t>Disclosure of notes on shares which remain unclaimed for promoter and promoter group</t>
  </si>
  <si>
    <t>Details of the shareholders acting as persons in Concert for Public</t>
  </si>
  <si>
    <t>Name of Shareholder</t>
  </si>
  <si>
    <t>Name of the PAC</t>
  </si>
  <si>
    <t>Percentage of shareholding by PAC</t>
  </si>
  <si>
    <t>Details of Shares which remain unclaimed for Public</t>
  </si>
  <si>
    <t>Disclosure of notes on shares which remain unclaimed for public shareholders</t>
  </si>
  <si>
    <t>Central Government / President of India</t>
  </si>
  <si>
    <t>State Government / Governor</t>
  </si>
  <si>
    <t>Shareholding by Companies or Bodies Corporate where Central / State Government is a promoter</t>
  </si>
  <si>
    <t>Resident Individuals holding nominal share capital up to Rs. 2 lakhs</t>
  </si>
  <si>
    <t>Resident Individuals holding nominal share capital in excess of Rs. 2 lakhs</t>
  </si>
  <si>
    <t>Central Government / State Government(s)</t>
  </si>
  <si>
    <t>(Name Of The Company)</t>
  </si>
  <si>
    <t>(Scrip Code/Name of Scrip/Class of Security)</t>
  </si>
  <si>
    <t>SHAREHOLDING AS ON DATE</t>
  </si>
  <si>
    <t>Share Holding Pattern Filed under: Reg. 31(1)(a)/Reg. 31(1)(b)/Reg.31(1)(C )</t>
  </si>
  <si>
    <t>Trusts</t>
  </si>
  <si>
    <t>Unclaimed or Suspense or Escrow Account</t>
  </si>
  <si>
    <t>Clearing Members</t>
  </si>
  <si>
    <t>(m)</t>
  </si>
  <si>
    <t xml:space="preserve">      (C2)</t>
  </si>
  <si>
    <t xml:space="preserve">      (C1)</t>
  </si>
  <si>
    <t>Board approved limits %</t>
  </si>
  <si>
    <t xml:space="preserve"> Limits utilized %</t>
  </si>
  <si>
    <t xml:space="preserve"> Total</t>
  </si>
  <si>
    <t>Bodies Corporate</t>
  </si>
  <si>
    <t>List of Promoter/Promoter Group having - Zero/NIL Holding in company</t>
  </si>
  <si>
    <t>Annexure A</t>
  </si>
  <si>
    <t xml:space="preserve">Name </t>
  </si>
  <si>
    <t>Type</t>
  </si>
  <si>
    <t xml:space="preserve">PAN </t>
  </si>
  <si>
    <t>HUF</t>
  </si>
  <si>
    <t>LLP</t>
  </si>
  <si>
    <t>Market Maker</t>
  </si>
  <si>
    <t>Foreign Portfolio Investor (Category - III)</t>
  </si>
  <si>
    <t>ESOP or ESOS or ESPS</t>
  </si>
  <si>
    <t>Independent Director or his relatives</t>
  </si>
  <si>
    <t>Nominee Director or his relatives</t>
  </si>
  <si>
    <t>Employee Welfare Fund</t>
  </si>
  <si>
    <t>Employees</t>
  </si>
  <si>
    <t>Enemy Property</t>
  </si>
  <si>
    <t>Overseas Corporate Bodies</t>
  </si>
  <si>
    <t>Private Equity Fund</t>
  </si>
  <si>
    <t>NSDL or CDSL Transit</t>
  </si>
  <si>
    <t>Societies</t>
  </si>
  <si>
    <t>Angel Investors</t>
  </si>
  <si>
    <t>FCCB</t>
  </si>
  <si>
    <t>Firm</t>
  </si>
  <si>
    <t>Others</t>
  </si>
  <si>
    <t>State industrial development Corporation</t>
  </si>
  <si>
    <t>Provident Fund</t>
  </si>
  <si>
    <t>Pension Fund</t>
  </si>
  <si>
    <t>National Investment Fund</t>
  </si>
  <si>
    <t>Clearing Member</t>
  </si>
  <si>
    <t>Trust</t>
  </si>
  <si>
    <t>Venture Capital Fund</t>
  </si>
  <si>
    <t>Other</t>
  </si>
  <si>
    <t>Venture Capital Funds</t>
  </si>
  <si>
    <t>Insurance  Companies</t>
  </si>
  <si>
    <t>Provident Funds/ Pension Funds</t>
  </si>
  <si>
    <t>Asset reconstruction companies</t>
  </si>
  <si>
    <t>Any Other (specify)</t>
  </si>
  <si>
    <t>Table III - Statement showing shareholding pattern of the Public shareholder</t>
  </si>
  <si>
    <t>Director or Director's Relatives</t>
  </si>
  <si>
    <t>Partnership Firms</t>
  </si>
  <si>
    <t>Person Acting in Concert</t>
  </si>
  <si>
    <t>Individuals (NonResident Individuals/ Foreign Individuals)</t>
  </si>
  <si>
    <t>Foreign Portfolio Investor</t>
  </si>
  <si>
    <t>Firms</t>
  </si>
  <si>
    <t>Individuals/Hindu undivided Family</t>
  </si>
  <si>
    <t>Central  Government/ State Government(s)</t>
  </si>
  <si>
    <t>Financial  Institutions/ Banks</t>
  </si>
  <si>
    <t>Relatives of promoters (other than ‘immediate relatives’ of promoters disclosed under ‘Promoter and Promoter Group’ category)</t>
  </si>
  <si>
    <t>Trusts where any person belonging to 'Promoter and Promoter Group' category is 'trustee', 'beneficiary', or 'author of the trust'</t>
  </si>
  <si>
    <t>Non-institutions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</si>
</sst>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quot;%&quot;"/>
    <numFmt numFmtId="165" formatCode="dd/mmm/yyyy"/>
  </numFmts>
  <fonts count="30" x14ac:knownFonts="1">
    <font>
      <sz val="11"/>
      <color theme="1"/>
      <name val="Calibri"/>
      <family val="2"/>
      <scheme val="minor"/>
    </font>
    <font>
      <sz val="11"/>
      <color theme="1"/>
      <name val="Calibri"/>
      <family val="2"/>
      <scheme val="minor"/>
    </font>
    <font>
      <sz val="11"/>
      <color theme="0"/>
      <name val="Calibri"/>
      <family val="2"/>
      <scheme val="minor"/>
    </font>
    <font>
      <sz val="10"/>
      <name val="Arial"/>
      <family val="2"/>
    </font>
    <font>
      <b/>
      <sz val="11"/>
      <color theme="0"/>
      <name val="Calibri"/>
      <family val="2"/>
      <scheme val="minor"/>
    </font>
    <font>
      <b/>
      <sz val="11"/>
      <color theme="1"/>
      <name val="Calibri"/>
      <family val="2"/>
      <scheme val="minor"/>
    </font>
    <font>
      <b/>
      <sz val="12"/>
      <color theme="0"/>
      <name val="Calibri"/>
      <family val="2"/>
      <scheme val="minor"/>
    </font>
    <font>
      <sz val="12"/>
      <color theme="1"/>
      <name val="Calibri"/>
      <family val="2"/>
      <scheme val="minor"/>
    </font>
    <font>
      <b/>
      <sz val="11"/>
      <name val="Calibri"/>
      <family val="2"/>
      <scheme val="minor"/>
    </font>
    <font>
      <b/>
      <sz val="12"/>
      <name val="Calibri"/>
      <family val="2"/>
      <scheme val="minor"/>
    </font>
    <font>
      <b/>
      <sz val="10.5"/>
      <color theme="0"/>
      <name val="Calibri"/>
      <family val="2"/>
      <scheme val="minor"/>
    </font>
    <font>
      <sz val="10.5"/>
      <color theme="1"/>
      <name val="Calibri"/>
      <family val="2"/>
      <scheme val="minor"/>
    </font>
    <font>
      <sz val="15"/>
      <color theme="1"/>
      <name val="Calibri"/>
      <family val="2"/>
      <scheme val="minor"/>
    </font>
    <font>
      <b/>
      <sz val="12"/>
      <color theme="1"/>
      <name val="Calibri"/>
      <family val="2"/>
      <scheme val="minor"/>
    </font>
    <font>
      <b/>
      <sz val="14"/>
      <color theme="0"/>
      <name val="Calibri"/>
      <family val="2"/>
      <scheme val="minor"/>
    </font>
    <font>
      <b/>
      <sz val="16"/>
      <color theme="0"/>
      <name val="Calibri"/>
      <family val="2"/>
      <scheme val="minor"/>
    </font>
    <font>
      <sz val="12"/>
      <name val="Calibri"/>
      <family val="2"/>
      <scheme val="minor"/>
    </font>
    <font>
      <sz val="11"/>
      <name val="Calibri"/>
      <family val="2"/>
      <scheme val="minor"/>
    </font>
    <font>
      <b/>
      <sz val="13"/>
      <name val="Calibri"/>
      <family val="2"/>
      <scheme val="minor"/>
    </font>
    <font>
      <b/>
      <sz val="16"/>
      <name val="Calibri"/>
      <family val="2"/>
      <scheme val="minor"/>
    </font>
    <font>
      <b/>
      <sz val="13"/>
      <color theme="1"/>
      <name val="Calibri"/>
      <family val="2"/>
      <scheme val="minor"/>
    </font>
    <font>
      <b/>
      <sz val="13"/>
      <color theme="0"/>
      <name val="Calibri"/>
      <family val="2"/>
      <scheme val="minor"/>
    </font>
    <font>
      <b/>
      <sz val="12.5"/>
      <color theme="1"/>
      <name val="Calibri"/>
      <family val="2"/>
      <scheme val="minor"/>
    </font>
    <font>
      <b/>
      <sz val="12.5"/>
      <color theme="0"/>
      <name val="Calibri"/>
      <family val="2"/>
      <scheme val="minor"/>
    </font>
    <font>
      <b/>
      <sz val="12.5"/>
      <name val="Calibri"/>
      <family val="2"/>
      <scheme val="minor"/>
    </font>
    <font>
      <b/>
      <sz val="12"/>
      <color rgb="FF000000"/>
      <name val="Calibri"/>
      <family val="2"/>
      <scheme val="minor"/>
    </font>
    <font>
      <b/>
      <sz val="14"/>
      <color theme="1"/>
      <name val="Calibri"/>
      <family val="2"/>
      <scheme val="minor"/>
    </font>
    <font>
      <b/>
      <sz val="22"/>
      <color theme="1"/>
      <name val="Calibri"/>
      <family val="2"/>
      <scheme val="minor"/>
    </font>
    <font>
      <b/>
      <sz val="15"/>
      <name val="Calibri"/>
      <family val="2"/>
      <scheme val="minor"/>
    </font>
    <font>
      <sz val="14"/>
      <color theme="1"/>
      <name val="Calibri"/>
      <family val="2"/>
      <scheme val="minor"/>
    </font>
  </fonts>
  <fills count="17">
    <fill>
      <patternFill patternType="none"/>
    </fill>
    <fill>
      <patternFill patternType="gray125"/>
    </fill>
    <fill>
      <patternFill patternType="solid">
        <fgColor rgb="FFFFFFCC"/>
      </patternFill>
    </fill>
    <fill>
      <patternFill patternType="solid">
        <fgColor theme="4"/>
      </patternFill>
    </fill>
    <fill>
      <patternFill patternType="solid">
        <fgColor theme="5"/>
      </patternFill>
    </fill>
    <fill>
      <patternFill patternType="solid">
        <fgColor theme="7"/>
      </patternFill>
    </fill>
    <fill>
      <patternFill patternType="solid">
        <fgColor theme="7" tint="0.39997558519241921"/>
        <bgColor indexed="65"/>
      </patternFill>
    </fill>
    <fill>
      <patternFill patternType="solid">
        <fgColor theme="9"/>
      </patternFill>
    </fill>
    <fill>
      <patternFill patternType="solid">
        <fgColor theme="5" tint="-0.249977111117893"/>
        <bgColor indexed="64"/>
      </patternFill>
    </fill>
    <fill>
      <patternFill patternType="solid">
        <fgColor theme="4" tint="-0.49998474074526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2" tint="-9.9978637043366805E-2"/>
        <bgColor indexed="64"/>
      </patternFill>
    </fill>
  </fills>
  <borders count="23">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style="thin">
        <color theme="0"/>
      </bottom>
      <diagonal/>
    </border>
    <border>
      <left style="thin">
        <color theme="0"/>
      </left>
      <right style="thin">
        <color indexed="64"/>
      </right>
      <top style="thin">
        <color indexed="64"/>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s>
  <cellStyleXfs count="8">
    <xf numFmtId="0" fontId="0" fillId="0" borderId="0"/>
    <xf numFmtId="0" fontId="1" fillId="2" borderId="1" applyNumberFormat="0" applyFont="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3" fillId="0" borderId="0"/>
  </cellStyleXfs>
  <cellXfs count="414">
    <xf numFmtId="0" fontId="0" fillId="0" borderId="0" xfId="0"/>
    <xf numFmtId="0" fontId="4" fillId="9" borderId="2" xfId="0" applyFont="1" applyFill="1" applyBorder="1" applyAlignment="1">
      <alignment horizontal="center" vertical="center" wrapText="1"/>
    </xf>
    <xf numFmtId="0" fontId="4" fillId="9" borderId="2" xfId="0" applyFont="1" applyFill="1" applyBorder="1" applyAlignment="1">
      <alignment horizontal="center" vertical="center"/>
    </xf>
    <xf numFmtId="0" fontId="7" fillId="0" borderId="0" xfId="0" applyFont="1"/>
    <xf numFmtId="0" fontId="6" fillId="9" borderId="2" xfId="0" applyFont="1" applyFill="1" applyBorder="1" applyAlignment="1">
      <alignment horizontal="center" vertical="center" wrapText="1"/>
    </xf>
    <xf numFmtId="0" fontId="6" fillId="9" borderId="2" xfId="0" applyFont="1" applyFill="1" applyBorder="1" applyAlignment="1">
      <alignment horizontal="center" vertical="center"/>
    </xf>
    <xf numFmtId="0" fontId="7" fillId="0" borderId="0" xfId="0" applyFont="1" applyAlignment="1">
      <alignment vertical="center"/>
    </xf>
    <xf numFmtId="0" fontId="6" fillId="9" borderId="2" xfId="0" applyFont="1" applyFill="1" applyBorder="1" applyAlignment="1" applyProtection="1">
      <alignment horizontal="center" vertical="center" wrapText="1"/>
      <protection hidden="1"/>
    </xf>
    <xf numFmtId="2" fontId="6" fillId="9" borderId="2" xfId="0" applyNumberFormat="1" applyFont="1" applyFill="1" applyBorder="1" applyAlignment="1" applyProtection="1">
      <alignment horizontal="center" vertical="center" wrapText="1"/>
      <protection hidden="1"/>
    </xf>
    <xf numFmtId="0" fontId="6" fillId="8" borderId="2" xfId="4" quotePrefix="1" applyFont="1" applyFill="1" applyBorder="1" applyAlignment="1">
      <alignment horizontal="left" vertical="center" wrapText="1"/>
    </xf>
    <xf numFmtId="0" fontId="1" fillId="0" borderId="0" xfId="0" applyFont="1" applyAlignment="1">
      <alignment vertical="center"/>
    </xf>
    <xf numFmtId="0" fontId="10" fillId="9" borderId="2" xfId="0" applyFont="1" applyFill="1" applyBorder="1" applyAlignment="1">
      <alignment horizontal="center" vertical="center" wrapText="1"/>
    </xf>
    <xf numFmtId="0" fontId="10" fillId="9" borderId="2" xfId="0" applyFont="1" applyFill="1" applyBorder="1" applyAlignment="1">
      <alignment horizontal="center" vertical="center"/>
    </xf>
    <xf numFmtId="2" fontId="10" fillId="9" borderId="2" xfId="0" applyNumberFormat="1" applyFont="1" applyFill="1" applyBorder="1" applyAlignment="1">
      <alignment horizontal="center" vertical="center" wrapText="1"/>
    </xf>
    <xf numFmtId="0" fontId="10" fillId="9" borderId="2" xfId="0" applyFont="1" applyFill="1" applyBorder="1" applyAlignment="1" applyProtection="1">
      <alignment horizontal="center" vertical="center" wrapText="1"/>
      <protection hidden="1"/>
    </xf>
    <xf numFmtId="2" fontId="10" fillId="9" borderId="2" xfId="0" applyNumberFormat="1" applyFont="1" applyFill="1" applyBorder="1" applyAlignment="1" applyProtection="1">
      <alignment horizontal="center" vertical="center" wrapText="1"/>
      <protection hidden="1"/>
    </xf>
    <xf numFmtId="0" fontId="8" fillId="0" borderId="0" xfId="0" applyFont="1" applyAlignment="1">
      <alignment horizontal="center" vertical="center" wrapText="1"/>
    </xf>
    <xf numFmtId="0" fontId="13" fillId="0" borderId="0" xfId="0" applyFont="1" applyAlignment="1">
      <alignment vertical="center"/>
    </xf>
    <xf numFmtId="0" fontId="13" fillId="0" borderId="0" xfId="0" applyFont="1"/>
    <xf numFmtId="0" fontId="1" fillId="0" borderId="0" xfId="0" applyFont="1"/>
    <xf numFmtId="2" fontId="1" fillId="0" borderId="0" xfId="0" applyNumberFormat="1" applyFont="1"/>
    <xf numFmtId="0" fontId="5" fillId="0" borderId="0" xfId="0" applyFont="1"/>
    <xf numFmtId="0" fontId="5" fillId="0" borderId="0" xfId="0" quotePrefix="1" applyFont="1" applyAlignment="1">
      <alignment horizontal="center" vertical="top"/>
    </xf>
    <xf numFmtId="0" fontId="5" fillId="0" borderId="0" xfId="0" applyFont="1" applyAlignment="1">
      <alignment vertical="top"/>
    </xf>
    <xf numFmtId="0" fontId="5" fillId="0" borderId="0" xfId="0" applyFont="1" applyAlignment="1">
      <alignment horizontal="center" vertical="top"/>
    </xf>
    <xf numFmtId="2" fontId="5" fillId="0" borderId="0" xfId="0" applyNumberFormat="1" applyFont="1" applyAlignment="1">
      <alignment vertical="top"/>
    </xf>
    <xf numFmtId="0" fontId="12" fillId="0" borderId="0" xfId="0" applyFont="1"/>
    <xf numFmtId="0" fontId="11" fillId="0" borderId="0" xfId="0" applyFont="1" applyAlignment="1">
      <alignment vertical="top" wrapText="1"/>
    </xf>
    <xf numFmtId="0" fontId="11" fillId="0" borderId="0" xfId="0" applyFont="1" applyAlignment="1">
      <alignment wrapText="1"/>
    </xf>
    <xf numFmtId="0" fontId="11" fillId="0" borderId="0" xfId="0" applyFont="1" applyAlignment="1">
      <alignment vertical="center" wrapText="1"/>
    </xf>
    <xf numFmtId="0" fontId="11" fillId="0" borderId="0" xfId="0" applyFont="1"/>
    <xf numFmtId="0" fontId="5" fillId="0" borderId="0" xfId="0" applyFont="1" applyAlignment="1">
      <alignment vertical="center"/>
    </xf>
    <xf numFmtId="0" fontId="6" fillId="8" borderId="2" xfId="0" applyFont="1" applyFill="1" applyBorder="1" applyAlignment="1">
      <alignment horizontal="center" vertical="center" wrapText="1"/>
    </xf>
    <xf numFmtId="0" fontId="6" fillId="8" borderId="2" xfId="0" applyFont="1" applyFill="1" applyBorder="1" applyAlignment="1">
      <alignment horizontal="center" vertical="center"/>
    </xf>
    <xf numFmtId="0" fontId="13" fillId="0" borderId="2" xfId="0" applyFont="1" applyBorder="1" applyAlignment="1" applyProtection="1">
      <alignment horizontal="center" vertical="center" wrapText="1"/>
      <protection locked="0"/>
    </xf>
    <xf numFmtId="0" fontId="13" fillId="0" borderId="2" xfId="0" applyFont="1" applyBorder="1" applyAlignment="1" applyProtection="1">
      <alignment horizontal="center" vertical="center"/>
      <protection locked="0"/>
    </xf>
    <xf numFmtId="0" fontId="13" fillId="0" borderId="0" xfId="0" applyFont="1" applyAlignment="1">
      <alignment horizontal="center" vertical="center"/>
    </xf>
    <xf numFmtId="0" fontId="17" fillId="0" borderId="0" xfId="0" applyFont="1" applyAlignment="1">
      <alignment wrapText="1"/>
    </xf>
    <xf numFmtId="0" fontId="17" fillId="0" borderId="0" xfId="0" applyFont="1" applyAlignment="1">
      <alignment horizontal="center" vertical="center" wrapText="1"/>
    </xf>
    <xf numFmtId="0" fontId="5" fillId="0" borderId="0" xfId="0" applyFont="1" applyAlignment="1">
      <alignment horizontal="center" vertical="center"/>
    </xf>
    <xf numFmtId="0" fontId="8" fillId="0" borderId="0" xfId="0" applyFont="1" applyAlignment="1">
      <alignment wrapText="1"/>
    </xf>
    <xf numFmtId="2" fontId="8" fillId="0" borderId="0" xfId="0" applyNumberFormat="1" applyFont="1" applyAlignment="1">
      <alignment wrapText="1"/>
    </xf>
    <xf numFmtId="0" fontId="8" fillId="0" borderId="0" xfId="0" applyFont="1" applyAlignment="1">
      <alignment horizontal="left" vertical="top" wrapText="1"/>
    </xf>
    <xf numFmtId="2" fontId="8" fillId="0" borderId="0" xfId="0" applyNumberFormat="1" applyFont="1" applyAlignment="1">
      <alignment horizontal="left" vertical="top" wrapText="1"/>
    </xf>
    <xf numFmtId="0" fontId="8" fillId="0" borderId="0" xfId="0" applyFont="1"/>
    <xf numFmtId="2" fontId="17" fillId="0" borderId="0" xfId="0" applyNumberFormat="1" applyFont="1" applyAlignment="1">
      <alignment wrapText="1"/>
    </xf>
    <xf numFmtId="0" fontId="16" fillId="0" borderId="0" xfId="0" applyFont="1" applyAlignment="1">
      <alignment wrapText="1"/>
    </xf>
    <xf numFmtId="0" fontId="16" fillId="0" borderId="0" xfId="0" applyFont="1" applyAlignment="1">
      <alignment horizontal="center" vertical="center" wrapText="1"/>
    </xf>
    <xf numFmtId="0" fontId="16" fillId="0" borderId="0" xfId="0" applyFont="1" applyAlignment="1">
      <alignment vertical="center" wrapText="1"/>
    </xf>
    <xf numFmtId="0" fontId="9" fillId="0" borderId="0" xfId="0" applyFont="1" applyAlignment="1" applyProtection="1">
      <alignment wrapText="1"/>
      <protection hidden="1"/>
    </xf>
    <xf numFmtId="0" fontId="9" fillId="0" borderId="0" xfId="0" applyFont="1" applyAlignment="1" applyProtection="1">
      <alignment horizontal="center" vertical="center"/>
      <protection hidden="1"/>
    </xf>
    <xf numFmtId="2" fontId="9" fillId="0" borderId="0" xfId="0" applyNumberFormat="1" applyFont="1" applyAlignment="1" applyProtection="1">
      <alignment horizontal="center" vertical="center"/>
      <protection hidden="1"/>
    </xf>
    <xf numFmtId="1" fontId="9" fillId="0" borderId="0" xfId="0" applyNumberFormat="1" applyFont="1" applyAlignment="1" applyProtection="1">
      <alignment wrapText="1"/>
      <protection hidden="1"/>
    </xf>
    <xf numFmtId="2" fontId="9" fillId="0" borderId="0" xfId="0" applyNumberFormat="1" applyFont="1" applyAlignment="1" applyProtection="1">
      <alignment wrapText="1"/>
      <protection hidden="1"/>
    </xf>
    <xf numFmtId="2" fontId="9" fillId="0" borderId="0" xfId="0" applyNumberFormat="1" applyFont="1" applyAlignment="1" applyProtection="1">
      <alignment horizontal="center" wrapText="1"/>
      <protection hidden="1"/>
    </xf>
    <xf numFmtId="0" fontId="9" fillId="0" borderId="0" xfId="0" applyFont="1" applyAlignment="1" applyProtection="1">
      <alignment horizontal="center" vertical="center" wrapText="1"/>
      <protection hidden="1"/>
    </xf>
    <xf numFmtId="0" fontId="13" fillId="0" borderId="0" xfId="0" applyFont="1" applyProtection="1">
      <protection hidden="1"/>
    </xf>
    <xf numFmtId="0" fontId="20" fillId="0" borderId="0" xfId="0" applyFont="1"/>
    <xf numFmtId="0" fontId="20" fillId="0" borderId="0" xfId="0" applyFont="1" applyAlignment="1" applyProtection="1">
      <alignment horizontal="center" vertical="center" wrapText="1"/>
      <protection hidden="1"/>
    </xf>
    <xf numFmtId="0" fontId="20" fillId="0" borderId="0" xfId="0" applyFont="1" applyAlignment="1">
      <alignment vertical="center"/>
    </xf>
    <xf numFmtId="0" fontId="18" fillId="0" borderId="2" xfId="0" applyFont="1" applyBorder="1" applyAlignment="1" applyProtection="1">
      <alignment horizontal="center" vertical="center"/>
      <protection hidden="1"/>
    </xf>
    <xf numFmtId="14" fontId="20" fillId="0" borderId="0" xfId="0" applyNumberFormat="1" applyFont="1" applyAlignment="1">
      <alignment vertical="center"/>
    </xf>
    <xf numFmtId="0" fontId="18" fillId="0" borderId="7" xfId="0" applyFont="1" applyBorder="1" applyAlignment="1" applyProtection="1">
      <alignment horizontal="center" vertical="center"/>
      <protection hidden="1"/>
    </xf>
    <xf numFmtId="0" fontId="18" fillId="0" borderId="2" xfId="0" applyFont="1" applyBorder="1" applyAlignment="1" applyProtection="1">
      <alignment horizontal="center" vertical="center" wrapText="1"/>
      <protection hidden="1"/>
    </xf>
    <xf numFmtId="0" fontId="18" fillId="0" borderId="0" xfId="0" applyFont="1" applyAlignment="1" applyProtection="1">
      <alignment vertical="top"/>
      <protection hidden="1"/>
    </xf>
    <xf numFmtId="0" fontId="23" fillId="9" borderId="2" xfId="0" applyFont="1" applyFill="1" applyBorder="1" applyAlignment="1" applyProtection="1">
      <alignment horizontal="center" vertical="center"/>
      <protection hidden="1"/>
    </xf>
    <xf numFmtId="0" fontId="23" fillId="9" borderId="2" xfId="0" applyFont="1" applyFill="1" applyBorder="1" applyAlignment="1" applyProtection="1">
      <alignment horizontal="center" vertical="center" wrapText="1"/>
      <protection hidden="1"/>
    </xf>
    <xf numFmtId="0" fontId="24" fillId="0" borderId="2" xfId="2" applyFont="1" applyFill="1" applyBorder="1" applyAlignment="1">
      <alignment horizontal="center" vertical="center" wrapText="1"/>
    </xf>
    <xf numFmtId="0" fontId="24" fillId="0" borderId="2" xfId="5" applyFont="1" applyFill="1" applyBorder="1" applyAlignment="1" applyProtection="1">
      <alignment horizontal="center" vertical="center"/>
      <protection hidden="1"/>
    </xf>
    <xf numFmtId="0" fontId="24" fillId="0" borderId="2" xfId="0" applyFont="1" applyBorder="1" applyAlignment="1" applyProtection="1">
      <alignment horizontal="center" vertical="center"/>
      <protection hidden="1"/>
    </xf>
    <xf numFmtId="0" fontId="24" fillId="0" borderId="2" xfId="1" applyFont="1" applyFill="1" applyBorder="1" applyAlignment="1" applyProtection="1">
      <alignment horizontal="center" vertical="center"/>
      <protection hidden="1"/>
    </xf>
    <xf numFmtId="0" fontId="24" fillId="0" borderId="2" xfId="5" applyFont="1" applyFill="1" applyBorder="1" applyAlignment="1" applyProtection="1">
      <alignment horizontal="center" vertical="center"/>
      <protection locked="0" hidden="1"/>
    </xf>
    <xf numFmtId="0" fontId="24" fillId="0" borderId="2" xfId="0" applyFont="1" applyBorder="1" applyAlignment="1" applyProtection="1">
      <alignment horizontal="center" vertical="center"/>
      <protection locked="0" hidden="1"/>
    </xf>
    <xf numFmtId="0" fontId="6" fillId="8" borderId="2" xfId="2" applyFont="1" applyFill="1" applyBorder="1" applyAlignment="1">
      <alignment horizontal="center" vertical="center" wrapText="1"/>
    </xf>
    <xf numFmtId="0" fontId="13" fillId="0" borderId="2" xfId="0" applyFont="1" applyBorder="1" applyAlignment="1">
      <alignment horizontal="center" vertical="center"/>
    </xf>
    <xf numFmtId="0" fontId="13" fillId="0" borderId="2" xfId="0" applyFont="1" applyBorder="1"/>
    <xf numFmtId="164" fontId="6" fillId="9" borderId="2" xfId="0" applyNumberFormat="1" applyFont="1" applyFill="1" applyBorder="1" applyAlignment="1">
      <alignment horizontal="center" vertical="center"/>
    </xf>
    <xf numFmtId="164" fontId="13" fillId="0" borderId="0" xfId="0" applyNumberFormat="1" applyFont="1"/>
    <xf numFmtId="0" fontId="9" fillId="0" borderId="0" xfId="0" applyFont="1" applyAlignment="1" applyProtection="1">
      <alignment vertical="center" wrapText="1"/>
      <protection hidden="1"/>
    </xf>
    <xf numFmtId="0" fontId="9" fillId="0" borderId="2" xfId="4" applyFont="1" applyFill="1" applyBorder="1" applyAlignment="1" applyProtection="1">
      <alignment horizontal="center" vertical="center" wrapText="1"/>
      <protection hidden="1"/>
    </xf>
    <xf numFmtId="0" fontId="9" fillId="0" borderId="2" xfId="4" applyFont="1" applyFill="1" applyBorder="1" applyAlignment="1" applyProtection="1">
      <alignment vertical="center" wrapText="1"/>
      <protection hidden="1"/>
    </xf>
    <xf numFmtId="0" fontId="9" fillId="0" borderId="2" xfId="4" applyFont="1" applyFill="1" applyBorder="1" applyAlignment="1" applyProtection="1">
      <alignment horizontal="right" vertical="center" wrapText="1"/>
      <protection hidden="1"/>
    </xf>
    <xf numFmtId="2" fontId="9" fillId="0" borderId="2" xfId="4" applyNumberFormat="1" applyFont="1" applyFill="1" applyBorder="1" applyAlignment="1" applyProtection="1">
      <alignment horizontal="right" vertical="center" wrapText="1"/>
      <protection hidden="1"/>
    </xf>
    <xf numFmtId="0" fontId="9" fillId="0" borderId="2" xfId="1" applyFont="1" applyFill="1" applyBorder="1" applyAlignment="1" applyProtection="1">
      <alignment horizontal="center" vertical="center" wrapText="1"/>
      <protection hidden="1"/>
    </xf>
    <xf numFmtId="0" fontId="9" fillId="0" borderId="2" xfId="1" applyFont="1" applyFill="1" applyBorder="1" applyAlignment="1" applyProtection="1">
      <alignment vertical="center" wrapText="1"/>
      <protection hidden="1"/>
    </xf>
    <xf numFmtId="0" fontId="9" fillId="0" borderId="2" xfId="1" applyFont="1" applyFill="1" applyBorder="1" applyAlignment="1" applyProtection="1">
      <alignment horizontal="right" vertical="center" wrapText="1"/>
      <protection hidden="1"/>
    </xf>
    <xf numFmtId="3" fontId="9" fillId="0" borderId="2" xfId="4" applyNumberFormat="1" applyFont="1" applyFill="1" applyBorder="1" applyAlignment="1" applyProtection="1">
      <alignment horizontal="right" vertical="center" wrapText="1"/>
      <protection hidden="1"/>
    </xf>
    <xf numFmtId="0" fontId="9" fillId="0" borderId="2" xfId="1" quotePrefix="1" applyFont="1" applyFill="1" applyBorder="1" applyAlignment="1" applyProtection="1">
      <alignment horizontal="center" vertical="center"/>
      <protection hidden="1"/>
    </xf>
    <xf numFmtId="0" fontId="9" fillId="0" borderId="2" xfId="4" quotePrefix="1" applyFont="1" applyFill="1" applyBorder="1" applyAlignment="1" applyProtection="1">
      <alignment horizontal="center" vertical="center"/>
      <protection hidden="1"/>
    </xf>
    <xf numFmtId="3" fontId="9" fillId="0" borderId="3" xfId="4" applyNumberFormat="1" applyFont="1" applyFill="1" applyBorder="1" applyAlignment="1" applyProtection="1">
      <alignment horizontal="right" vertical="center" wrapText="1"/>
      <protection hidden="1"/>
    </xf>
    <xf numFmtId="3" fontId="9" fillId="0" borderId="5" xfId="4" applyNumberFormat="1" applyFont="1" applyFill="1" applyBorder="1" applyAlignment="1" applyProtection="1">
      <alignment horizontal="right" vertical="center" wrapText="1"/>
      <protection hidden="1"/>
    </xf>
    <xf numFmtId="2" fontId="9" fillId="0" borderId="7" xfId="1" applyNumberFormat="1" applyFont="1" applyFill="1" applyBorder="1" applyAlignment="1" applyProtection="1">
      <alignment horizontal="right" vertical="center" wrapText="1"/>
      <protection hidden="1"/>
    </xf>
    <xf numFmtId="2" fontId="9" fillId="0" borderId="8" xfId="4" applyNumberFormat="1" applyFont="1" applyFill="1" applyBorder="1" applyAlignment="1" applyProtection="1">
      <alignment horizontal="right" vertical="center" wrapText="1"/>
      <protection hidden="1"/>
    </xf>
    <xf numFmtId="2" fontId="9" fillId="10" borderId="0" xfId="4" applyNumberFormat="1" applyFont="1" applyFill="1" applyBorder="1" applyAlignment="1" applyProtection="1">
      <alignment horizontal="right" vertical="center" wrapText="1"/>
      <protection hidden="1"/>
    </xf>
    <xf numFmtId="2" fontId="9" fillId="10" borderId="7" xfId="4" applyNumberFormat="1" applyFont="1" applyFill="1" applyBorder="1" applyAlignment="1" applyProtection="1">
      <alignment horizontal="right" vertical="center" wrapText="1"/>
      <protection hidden="1"/>
    </xf>
    <xf numFmtId="2" fontId="9" fillId="10" borderId="8" xfId="1" applyNumberFormat="1" applyFont="1" applyFill="1" applyBorder="1" applyAlignment="1" applyProtection="1">
      <alignment horizontal="right" vertical="center" wrapText="1"/>
      <protection hidden="1"/>
    </xf>
    <xf numFmtId="2" fontId="9" fillId="0" borderId="7" xfId="4" applyNumberFormat="1" applyFont="1" applyFill="1" applyBorder="1" applyAlignment="1" applyProtection="1">
      <alignment horizontal="right" vertical="center" wrapText="1"/>
      <protection hidden="1"/>
    </xf>
    <xf numFmtId="2" fontId="9" fillId="10" borderId="8" xfId="4" applyNumberFormat="1" applyFont="1" applyFill="1" applyBorder="1" applyAlignment="1" applyProtection="1">
      <alignment horizontal="right" vertical="center" wrapText="1"/>
      <protection hidden="1"/>
    </xf>
    <xf numFmtId="2" fontId="9" fillId="0" borderId="3" xfId="4" applyNumberFormat="1" applyFont="1" applyFill="1" applyBorder="1" applyAlignment="1" applyProtection="1">
      <alignment horizontal="right" vertical="center" wrapText="1"/>
      <protection hidden="1"/>
    </xf>
    <xf numFmtId="0" fontId="9" fillId="0" borderId="7" xfId="4" applyFont="1" applyFill="1" applyBorder="1" applyAlignment="1" applyProtection="1">
      <alignment horizontal="right" vertical="center" wrapText="1"/>
      <protection hidden="1"/>
    </xf>
    <xf numFmtId="0" fontId="9" fillId="10" borderId="10" xfId="1" applyFont="1" applyFill="1" applyBorder="1" applyAlignment="1" applyProtection="1">
      <alignment horizontal="right" vertical="center" wrapText="1"/>
      <protection hidden="1"/>
    </xf>
    <xf numFmtId="2" fontId="9" fillId="10" borderId="6" xfId="4" applyNumberFormat="1" applyFont="1" applyFill="1" applyBorder="1" applyAlignment="1" applyProtection="1">
      <alignment horizontal="right" vertical="center" wrapText="1"/>
      <protection hidden="1"/>
    </xf>
    <xf numFmtId="0" fontId="9" fillId="10" borderId="6" xfId="1" applyFont="1" applyFill="1" applyBorder="1" applyAlignment="1" applyProtection="1">
      <alignment horizontal="right" vertical="center" wrapText="1"/>
      <protection hidden="1"/>
    </xf>
    <xf numFmtId="0" fontId="9" fillId="10" borderId="6" xfId="4" applyFont="1" applyFill="1" applyBorder="1" applyAlignment="1" applyProtection="1">
      <alignment horizontal="right" vertical="center" wrapText="1"/>
      <protection hidden="1"/>
    </xf>
    <xf numFmtId="2" fontId="9" fillId="10" borderId="11" xfId="4" applyNumberFormat="1" applyFont="1" applyFill="1" applyBorder="1" applyAlignment="1" applyProtection="1">
      <alignment horizontal="right" vertical="center" wrapText="1"/>
      <protection hidden="1"/>
    </xf>
    <xf numFmtId="0" fontId="9" fillId="10" borderId="9" xfId="4" applyFont="1" applyFill="1" applyBorder="1" applyAlignment="1" applyProtection="1">
      <alignment horizontal="right" vertical="center" wrapText="1"/>
      <protection hidden="1"/>
    </xf>
    <xf numFmtId="0" fontId="9" fillId="10" borderId="0" xfId="4" applyFont="1" applyFill="1" applyBorder="1" applyAlignment="1" applyProtection="1">
      <alignment horizontal="right" vertical="center" wrapText="1"/>
      <protection hidden="1"/>
    </xf>
    <xf numFmtId="2" fontId="9" fillId="10" borderId="12" xfId="4" applyNumberFormat="1" applyFont="1" applyFill="1" applyBorder="1" applyAlignment="1" applyProtection="1">
      <alignment horizontal="right" vertical="center" wrapText="1"/>
      <protection hidden="1"/>
    </xf>
    <xf numFmtId="0" fontId="9" fillId="10" borderId="9" xfId="1" applyFont="1" applyFill="1" applyBorder="1" applyAlignment="1" applyProtection="1">
      <alignment horizontal="right" vertical="center" wrapText="1"/>
      <protection hidden="1"/>
    </xf>
    <xf numFmtId="0" fontId="9" fillId="10" borderId="0" xfId="1" applyFont="1" applyFill="1" applyBorder="1" applyAlignment="1" applyProtection="1">
      <alignment horizontal="right" vertical="center" wrapText="1"/>
      <protection hidden="1"/>
    </xf>
    <xf numFmtId="0" fontId="9" fillId="10" borderId="13" xfId="4" applyFont="1" applyFill="1" applyBorder="1" applyAlignment="1" applyProtection="1">
      <alignment horizontal="right" vertical="center" wrapText="1"/>
      <protection hidden="1"/>
    </xf>
    <xf numFmtId="2" fontId="9" fillId="10" borderId="14" xfId="4" applyNumberFormat="1" applyFont="1" applyFill="1" applyBorder="1" applyAlignment="1" applyProtection="1">
      <alignment horizontal="right" vertical="center" wrapText="1"/>
      <protection hidden="1"/>
    </xf>
    <xf numFmtId="0" fontId="9" fillId="10" borderId="14" xfId="4" applyFont="1" applyFill="1" applyBorder="1" applyAlignment="1" applyProtection="1">
      <alignment horizontal="right" vertical="center" wrapText="1"/>
      <protection hidden="1"/>
    </xf>
    <xf numFmtId="2" fontId="9" fillId="10" borderId="15" xfId="4" applyNumberFormat="1" applyFont="1" applyFill="1" applyBorder="1" applyAlignment="1" applyProtection="1">
      <alignment horizontal="right" vertical="center" wrapText="1"/>
      <protection hidden="1"/>
    </xf>
    <xf numFmtId="0" fontId="9" fillId="10" borderId="3" xfId="4" applyFont="1" applyFill="1" applyBorder="1" applyAlignment="1" applyProtection="1">
      <alignment horizontal="right" vertical="center" wrapText="1"/>
      <protection hidden="1"/>
    </xf>
    <xf numFmtId="0" fontId="9" fillId="10" borderId="4" xfId="4" applyFont="1" applyFill="1" applyBorder="1" applyAlignment="1" applyProtection="1">
      <alignment horizontal="right" vertical="center" wrapText="1"/>
      <protection hidden="1"/>
    </xf>
    <xf numFmtId="0" fontId="9" fillId="10" borderId="5" xfId="4" applyFont="1" applyFill="1" applyBorder="1" applyAlignment="1" applyProtection="1">
      <alignment horizontal="right" vertical="center" wrapText="1"/>
      <protection hidden="1"/>
    </xf>
    <xf numFmtId="0" fontId="9" fillId="0" borderId="16" xfId="4" applyFont="1" applyFill="1" applyBorder="1" applyAlignment="1" applyProtection="1">
      <alignment horizontal="right" vertical="center" wrapText="1"/>
      <protection hidden="1"/>
    </xf>
    <xf numFmtId="3" fontId="9" fillId="10" borderId="0" xfId="4" applyNumberFormat="1" applyFont="1" applyFill="1" applyBorder="1" applyAlignment="1" applyProtection="1">
      <alignment horizontal="right" vertical="center" wrapText="1"/>
      <protection hidden="1"/>
    </xf>
    <xf numFmtId="3" fontId="9" fillId="10" borderId="10" xfId="4" applyNumberFormat="1" applyFont="1" applyFill="1" applyBorder="1" applyAlignment="1" applyProtection="1">
      <alignment horizontal="right" vertical="center" wrapText="1"/>
      <protection hidden="1"/>
    </xf>
    <xf numFmtId="3" fontId="9" fillId="10" borderId="6" xfId="4" applyNumberFormat="1" applyFont="1" applyFill="1" applyBorder="1" applyAlignment="1" applyProtection="1">
      <alignment horizontal="right" vertical="center" wrapText="1"/>
      <protection hidden="1"/>
    </xf>
    <xf numFmtId="3" fontId="9" fillId="10" borderId="11" xfId="4" applyNumberFormat="1" applyFont="1" applyFill="1" applyBorder="1" applyAlignment="1" applyProtection="1">
      <alignment horizontal="right" vertical="center" wrapText="1"/>
      <protection hidden="1"/>
    </xf>
    <xf numFmtId="3" fontId="9" fillId="10" borderId="9" xfId="4" applyNumberFormat="1" applyFont="1" applyFill="1" applyBorder="1" applyAlignment="1" applyProtection="1">
      <alignment horizontal="right" vertical="center" wrapText="1"/>
      <protection hidden="1"/>
    </xf>
    <xf numFmtId="3" fontId="9" fillId="10" borderId="12" xfId="4" applyNumberFormat="1" applyFont="1" applyFill="1" applyBorder="1" applyAlignment="1" applyProtection="1">
      <alignment horizontal="right" vertical="center" wrapText="1"/>
      <protection hidden="1"/>
    </xf>
    <xf numFmtId="3" fontId="9" fillId="10" borderId="13" xfId="4" applyNumberFormat="1" applyFont="1" applyFill="1" applyBorder="1" applyAlignment="1" applyProtection="1">
      <alignment horizontal="right" vertical="center" wrapText="1"/>
      <protection hidden="1"/>
    </xf>
    <xf numFmtId="3" fontId="9" fillId="10" borderId="14" xfId="4" applyNumberFormat="1" applyFont="1" applyFill="1" applyBorder="1" applyAlignment="1" applyProtection="1">
      <alignment horizontal="right" vertical="center" wrapText="1"/>
      <protection hidden="1"/>
    </xf>
    <xf numFmtId="3" fontId="9" fillId="10" borderId="15" xfId="4" applyNumberFormat="1" applyFont="1" applyFill="1" applyBorder="1" applyAlignment="1" applyProtection="1">
      <alignment horizontal="right" vertical="center" wrapText="1"/>
      <protection hidden="1"/>
    </xf>
    <xf numFmtId="3" fontId="6" fillId="9" borderId="2" xfId="1" applyNumberFormat="1" applyFont="1" applyFill="1" applyBorder="1" applyAlignment="1" applyProtection="1">
      <alignment horizontal="right" vertical="center" wrapText="1"/>
      <protection hidden="1"/>
    </xf>
    <xf numFmtId="0" fontId="6" fillId="9" borderId="2" xfId="1" applyFont="1" applyFill="1" applyBorder="1" applyAlignment="1" applyProtection="1">
      <alignment horizontal="right" vertical="center" wrapText="1"/>
      <protection hidden="1"/>
    </xf>
    <xf numFmtId="0" fontId="6" fillId="9" borderId="2" xfId="4" applyFont="1" applyFill="1" applyBorder="1" applyAlignment="1" applyProtection="1">
      <alignment horizontal="right" vertical="center" wrapText="1"/>
      <protection hidden="1"/>
    </xf>
    <xf numFmtId="2" fontId="6" fillId="9" borderId="2" xfId="1" applyNumberFormat="1" applyFont="1" applyFill="1" applyBorder="1" applyAlignment="1" applyProtection="1">
      <alignment horizontal="right" vertical="center" wrapText="1"/>
      <protection hidden="1"/>
    </xf>
    <xf numFmtId="2" fontId="6" fillId="9" borderId="2" xfId="4" applyNumberFormat="1" applyFont="1" applyFill="1" applyBorder="1" applyAlignment="1" applyProtection="1">
      <alignment horizontal="right" vertical="center" wrapText="1"/>
      <protection hidden="1"/>
    </xf>
    <xf numFmtId="0" fontId="6" fillId="9" borderId="8" xfId="1" applyFont="1" applyFill="1" applyBorder="1" applyAlignment="1" applyProtection="1">
      <alignment horizontal="right" vertical="center" wrapText="1"/>
      <protection hidden="1"/>
    </xf>
    <xf numFmtId="2" fontId="6" fillId="9" borderId="8" xfId="4" applyNumberFormat="1" applyFont="1" applyFill="1" applyBorder="1" applyAlignment="1" applyProtection="1">
      <alignment horizontal="right" vertical="center" wrapText="1"/>
      <protection hidden="1"/>
    </xf>
    <xf numFmtId="0" fontId="6" fillId="9" borderId="8" xfId="4" applyFont="1" applyFill="1" applyBorder="1" applyAlignment="1" applyProtection="1">
      <alignment horizontal="right" vertical="center" wrapText="1"/>
      <protection hidden="1"/>
    </xf>
    <xf numFmtId="0" fontId="9" fillId="0" borderId="2" xfId="2" applyFont="1" applyFill="1" applyBorder="1" applyAlignment="1">
      <alignment horizontal="center" vertical="center" wrapText="1"/>
    </xf>
    <xf numFmtId="0" fontId="9" fillId="0" borderId="2" xfId="2" applyFont="1" applyFill="1" applyBorder="1" applyAlignment="1">
      <alignment vertical="center" wrapText="1"/>
    </xf>
    <xf numFmtId="0" fontId="9" fillId="0" borderId="2" xfId="2" applyFont="1" applyFill="1" applyBorder="1" applyAlignment="1" applyProtection="1">
      <alignment horizontal="right" vertical="center" wrapText="1"/>
      <protection locked="0"/>
    </xf>
    <xf numFmtId="0" fontId="9" fillId="0" borderId="2" xfId="2" applyFont="1" applyFill="1" applyBorder="1" applyAlignment="1">
      <alignment horizontal="right" vertical="center" wrapText="1"/>
    </xf>
    <xf numFmtId="2" fontId="9" fillId="0" borderId="2" xfId="2" applyNumberFormat="1" applyFont="1" applyFill="1" applyBorder="1" applyAlignment="1">
      <alignment horizontal="right" vertical="center" wrapText="1"/>
    </xf>
    <xf numFmtId="0" fontId="8" fillId="0" borderId="2" xfId="2" applyFont="1" applyFill="1" applyBorder="1" applyAlignment="1">
      <alignment horizontal="center" vertical="center" wrapText="1"/>
    </xf>
    <xf numFmtId="0" fontId="8" fillId="0" borderId="2" xfId="2" applyFont="1" applyFill="1" applyBorder="1" applyAlignment="1">
      <alignment horizontal="left" vertical="center" wrapText="1"/>
    </xf>
    <xf numFmtId="0" fontId="8" fillId="0" borderId="2" xfId="2" applyFont="1" applyFill="1" applyBorder="1" applyAlignment="1">
      <alignment horizontal="right" vertical="center" wrapText="1"/>
    </xf>
    <xf numFmtId="0" fontId="8" fillId="0" borderId="2" xfId="2" applyFont="1" applyFill="1" applyBorder="1" applyAlignment="1">
      <alignment vertical="center" wrapText="1"/>
    </xf>
    <xf numFmtId="2" fontId="8" fillId="0" borderId="2" xfId="2" applyNumberFormat="1" applyFont="1" applyFill="1" applyBorder="1" applyAlignment="1">
      <alignment horizontal="right" vertical="center" wrapText="1"/>
    </xf>
    <xf numFmtId="1" fontId="8" fillId="0" borderId="2" xfId="2" applyNumberFormat="1" applyFont="1" applyFill="1" applyBorder="1" applyAlignment="1">
      <alignment horizontal="right" vertical="center" wrapText="1"/>
    </xf>
    <xf numFmtId="0" fontId="8" fillId="10" borderId="10" xfId="0" applyFont="1" applyFill="1" applyBorder="1" applyAlignment="1" applyProtection="1">
      <alignment horizontal="right" vertical="center"/>
      <protection locked="0"/>
    </xf>
    <xf numFmtId="2" fontId="8" fillId="10" borderId="6" xfId="0" applyNumberFormat="1" applyFont="1" applyFill="1" applyBorder="1" applyAlignment="1">
      <alignment horizontal="right" vertical="center"/>
    </xf>
    <xf numFmtId="0" fontId="8" fillId="10" borderId="6" xfId="0" applyFont="1" applyFill="1" applyBorder="1" applyAlignment="1" applyProtection="1">
      <alignment horizontal="right" vertical="center"/>
      <protection locked="0"/>
    </xf>
    <xf numFmtId="2" fontId="8" fillId="10" borderId="11" xfId="0" applyNumberFormat="1" applyFont="1" applyFill="1" applyBorder="1" applyAlignment="1">
      <alignment horizontal="right" vertical="center"/>
    </xf>
    <xf numFmtId="0" fontId="8" fillId="10" borderId="9" xfId="0" applyFont="1" applyFill="1" applyBorder="1" applyAlignment="1" applyProtection="1">
      <alignment horizontal="right" vertical="center"/>
      <protection locked="0"/>
    </xf>
    <xf numFmtId="2" fontId="8" fillId="10" borderId="12" xfId="0" applyNumberFormat="1" applyFont="1" applyFill="1" applyBorder="1" applyAlignment="1">
      <alignment horizontal="right" vertical="center"/>
    </xf>
    <xf numFmtId="2" fontId="8" fillId="10" borderId="14" xfId="0" applyNumberFormat="1" applyFont="1" applyFill="1" applyBorder="1" applyAlignment="1">
      <alignment horizontal="right" vertical="center"/>
    </xf>
    <xf numFmtId="0" fontId="8" fillId="10" borderId="14" xfId="0" applyFont="1" applyFill="1" applyBorder="1" applyAlignment="1">
      <alignment horizontal="right" vertical="center"/>
    </xf>
    <xf numFmtId="0" fontId="8" fillId="10" borderId="10" xfId="0" applyFont="1" applyFill="1" applyBorder="1" applyAlignment="1" applyProtection="1">
      <alignment vertical="center"/>
      <protection locked="0"/>
    </xf>
    <xf numFmtId="2" fontId="8" fillId="10" borderId="6" xfId="0" applyNumberFormat="1" applyFont="1" applyFill="1" applyBorder="1" applyAlignment="1">
      <alignment vertical="center"/>
    </xf>
    <xf numFmtId="0" fontId="8" fillId="10" borderId="6" xfId="0" applyFont="1" applyFill="1" applyBorder="1" applyAlignment="1" applyProtection="1">
      <alignment vertical="center"/>
      <protection locked="0"/>
    </xf>
    <xf numFmtId="2" fontId="8" fillId="10" borderId="11" xfId="0" applyNumberFormat="1" applyFont="1" applyFill="1" applyBorder="1" applyAlignment="1">
      <alignment vertical="center"/>
    </xf>
    <xf numFmtId="0" fontId="8" fillId="10" borderId="9" xfId="0" applyFont="1" applyFill="1" applyBorder="1" applyAlignment="1" applyProtection="1">
      <alignment vertical="center"/>
      <protection locked="0"/>
    </xf>
    <xf numFmtId="2" fontId="8" fillId="10" borderId="12" xfId="0" applyNumberFormat="1" applyFont="1" applyFill="1" applyBorder="1" applyAlignment="1">
      <alignment vertical="center"/>
    </xf>
    <xf numFmtId="2" fontId="8" fillId="10" borderId="14" xfId="0" applyNumberFormat="1" applyFont="1" applyFill="1" applyBorder="1" applyAlignment="1">
      <alignment vertical="center"/>
    </xf>
    <xf numFmtId="0" fontId="8" fillId="10" borderId="14" xfId="0" applyFont="1" applyFill="1" applyBorder="1" applyAlignment="1">
      <alignment vertical="center"/>
    </xf>
    <xf numFmtId="2" fontId="8" fillId="0" borderId="3" xfId="2" applyNumberFormat="1" applyFont="1" applyFill="1" applyBorder="1" applyAlignment="1">
      <alignment horizontal="right" vertical="center" wrapText="1"/>
    </xf>
    <xf numFmtId="0" fontId="8" fillId="10" borderId="0" xfId="2" applyFont="1" applyFill="1" applyBorder="1" applyAlignment="1" applyProtection="1">
      <alignment horizontal="right" vertical="center" wrapText="1"/>
      <protection locked="0"/>
    </xf>
    <xf numFmtId="2" fontId="8" fillId="10" borderId="0" xfId="2" applyNumberFormat="1" applyFont="1" applyFill="1" applyBorder="1" applyAlignment="1">
      <alignment horizontal="right" vertical="center" wrapText="1"/>
    </xf>
    <xf numFmtId="0" fontId="8" fillId="10" borderId="9" xfId="2" applyFont="1" applyFill="1" applyBorder="1" applyAlignment="1" applyProtection="1">
      <alignment horizontal="right" vertical="center" wrapText="1"/>
      <protection locked="0"/>
    </xf>
    <xf numFmtId="2" fontId="8" fillId="10" borderId="12" xfId="2" applyNumberFormat="1" applyFont="1" applyFill="1" applyBorder="1" applyAlignment="1">
      <alignment horizontal="right" vertical="center" wrapText="1"/>
    </xf>
    <xf numFmtId="0" fontId="4" fillId="10" borderId="13" xfId="0" applyFont="1" applyFill="1" applyBorder="1" applyAlignment="1">
      <alignment horizontal="right" vertical="center"/>
    </xf>
    <xf numFmtId="2" fontId="4" fillId="10" borderId="14" xfId="0" applyNumberFormat="1" applyFont="1" applyFill="1" applyBorder="1" applyAlignment="1">
      <alignment horizontal="right" vertical="center"/>
    </xf>
    <xf numFmtId="0" fontId="4" fillId="10" borderId="14" xfId="0" applyFont="1" applyFill="1" applyBorder="1" applyAlignment="1">
      <alignment horizontal="right" vertical="center"/>
    </xf>
    <xf numFmtId="2" fontId="4" fillId="10" borderId="15" xfId="0" applyNumberFormat="1" applyFont="1" applyFill="1" applyBorder="1" applyAlignment="1">
      <alignment horizontal="right" vertical="center"/>
    </xf>
    <xf numFmtId="0" fontId="13" fillId="12" borderId="2" xfId="0" applyFont="1" applyFill="1" applyBorder="1" applyAlignment="1">
      <alignment horizontal="center" vertical="center"/>
    </xf>
    <xf numFmtId="2" fontId="13" fillId="12" borderId="2" xfId="0" applyNumberFormat="1" applyFont="1" applyFill="1" applyBorder="1" applyAlignment="1">
      <alignment horizontal="center" vertical="center"/>
    </xf>
    <xf numFmtId="0" fontId="25" fillId="12" borderId="2" xfId="0" applyFont="1" applyFill="1" applyBorder="1" applyAlignment="1">
      <alignment vertical="center"/>
    </xf>
    <xf numFmtId="0" fontId="9" fillId="0" borderId="3" xfId="2" applyFont="1" applyFill="1" applyBorder="1" applyAlignment="1">
      <alignment horizontal="right" vertical="center" wrapText="1"/>
    </xf>
    <xf numFmtId="0" fontId="9" fillId="10" borderId="0" xfId="2" applyFont="1" applyFill="1" applyBorder="1" applyAlignment="1">
      <alignment horizontal="right" vertical="center" wrapText="1"/>
    </xf>
    <xf numFmtId="0" fontId="9" fillId="10" borderId="0" xfId="3" applyFont="1" applyFill="1" applyBorder="1" applyAlignment="1">
      <alignment horizontal="right" vertical="center" wrapText="1"/>
    </xf>
    <xf numFmtId="0" fontId="9" fillId="10" borderId="10" xfId="2" applyFont="1" applyFill="1" applyBorder="1" applyAlignment="1">
      <alignment horizontal="right" vertical="center" wrapText="1"/>
    </xf>
    <xf numFmtId="0" fontId="9" fillId="10" borderId="6" xfId="2" applyFont="1" applyFill="1" applyBorder="1" applyAlignment="1">
      <alignment horizontal="right" vertical="center" wrapText="1"/>
    </xf>
    <xf numFmtId="0" fontId="9" fillId="10" borderId="11" xfId="2" applyFont="1" applyFill="1" applyBorder="1" applyAlignment="1">
      <alignment horizontal="right" vertical="center" wrapText="1"/>
    </xf>
    <xf numFmtId="0" fontId="9" fillId="10" borderId="9" xfId="2" applyFont="1" applyFill="1" applyBorder="1" applyAlignment="1">
      <alignment horizontal="right" vertical="center" wrapText="1"/>
    </xf>
    <xf numFmtId="0" fontId="9" fillId="10" borderId="12" xfId="2" applyFont="1" applyFill="1" applyBorder="1" applyAlignment="1">
      <alignment horizontal="right" vertical="center" wrapText="1"/>
    </xf>
    <xf numFmtId="0" fontId="9" fillId="10" borderId="14" xfId="3" applyFont="1" applyFill="1" applyBorder="1" applyAlignment="1">
      <alignment horizontal="right" vertical="center" wrapText="1"/>
    </xf>
    <xf numFmtId="0" fontId="9" fillId="10" borderId="15" xfId="3" applyFont="1" applyFill="1" applyBorder="1" applyAlignment="1">
      <alignment horizontal="right" vertical="center" wrapText="1"/>
    </xf>
    <xf numFmtId="0" fontId="9" fillId="10" borderId="12" xfId="3" applyFont="1" applyFill="1" applyBorder="1" applyAlignment="1">
      <alignment horizontal="right" vertical="center" wrapText="1"/>
    </xf>
    <xf numFmtId="0" fontId="6" fillId="10" borderId="13" xfId="0" applyFont="1" applyFill="1" applyBorder="1" applyAlignment="1">
      <alignment horizontal="right" vertical="center" wrapText="1"/>
    </xf>
    <xf numFmtId="0" fontId="6" fillId="10" borderId="14" xfId="0" applyFont="1" applyFill="1" applyBorder="1" applyAlignment="1">
      <alignment horizontal="right" vertical="center" wrapText="1"/>
    </xf>
    <xf numFmtId="0" fontId="6" fillId="10" borderId="15" xfId="0" applyFont="1" applyFill="1" applyBorder="1" applyAlignment="1">
      <alignment horizontal="right" vertical="center" wrapText="1"/>
    </xf>
    <xf numFmtId="0" fontId="19" fillId="0" borderId="0" xfId="0" applyFont="1" applyAlignment="1" applyProtection="1">
      <alignment wrapText="1"/>
      <protection hidden="1"/>
    </xf>
    <xf numFmtId="0" fontId="8" fillId="10" borderId="0" xfId="2" applyFont="1" applyFill="1" applyBorder="1" applyAlignment="1">
      <alignment horizontal="right" vertical="center" wrapText="1"/>
    </xf>
    <xf numFmtId="0" fontId="8" fillId="10" borderId="9" xfId="2" applyFont="1" applyFill="1" applyBorder="1" applyAlignment="1">
      <alignment horizontal="right" vertical="center" wrapText="1"/>
    </xf>
    <xf numFmtId="0" fontId="8" fillId="10" borderId="12" xfId="2" applyFont="1" applyFill="1" applyBorder="1" applyAlignment="1">
      <alignment horizontal="right" vertical="center" wrapText="1"/>
    </xf>
    <xf numFmtId="0" fontId="8" fillId="0" borderId="2" xfId="2" quotePrefix="1" applyFont="1" applyFill="1" applyBorder="1" applyAlignment="1">
      <alignment horizontal="center" vertical="center" wrapText="1"/>
    </xf>
    <xf numFmtId="2" fontId="8" fillId="10" borderId="2" xfId="0" applyNumberFormat="1" applyFont="1" applyFill="1" applyBorder="1" applyAlignment="1">
      <alignment horizontal="right" vertical="center"/>
    </xf>
    <xf numFmtId="0" fontId="9" fillId="13" borderId="2" xfId="2" applyFont="1" applyFill="1" applyBorder="1" applyAlignment="1" applyProtection="1">
      <alignment horizontal="right" vertical="center" wrapText="1"/>
      <protection locked="0"/>
    </xf>
    <xf numFmtId="0" fontId="9" fillId="13" borderId="2" xfId="2" applyFont="1" applyFill="1" applyBorder="1" applyAlignment="1">
      <alignment horizontal="right" vertical="center" wrapText="1"/>
    </xf>
    <xf numFmtId="0" fontId="9" fillId="13" borderId="2" xfId="2" applyFont="1" applyFill="1" applyBorder="1" applyAlignment="1" applyProtection="1">
      <alignment horizontal="right" vertical="center" wrapText="1"/>
    </xf>
    <xf numFmtId="0" fontId="8" fillId="0" borderId="0" xfId="0" applyFont="1" applyAlignment="1">
      <alignment vertical="top"/>
    </xf>
    <xf numFmtId="0" fontId="9" fillId="0" borderId="0" xfId="0" applyNumberFormat="1" applyFont="1" applyAlignment="1" applyProtection="1">
      <alignment horizontal="center" vertical="center"/>
      <protection hidden="1"/>
    </xf>
    <xf numFmtId="0" fontId="6" fillId="9" borderId="2" xfId="0" applyNumberFormat="1" applyFont="1" applyFill="1" applyBorder="1" applyAlignment="1" applyProtection="1">
      <alignment horizontal="center" vertical="center" wrapText="1"/>
      <protection hidden="1"/>
    </xf>
    <xf numFmtId="0" fontId="9" fillId="0" borderId="3" xfId="4" applyNumberFormat="1" applyFont="1" applyFill="1" applyBorder="1" applyAlignment="1" applyProtection="1">
      <alignment horizontal="right" vertical="center" wrapText="1"/>
      <protection hidden="1"/>
    </xf>
    <xf numFmtId="0" fontId="9" fillId="0" borderId="5" xfId="4" applyNumberFormat="1" applyFont="1" applyFill="1" applyBorder="1" applyAlignment="1" applyProtection="1">
      <alignment horizontal="right" vertical="center" wrapText="1"/>
      <protection hidden="1"/>
    </xf>
    <xf numFmtId="0" fontId="9" fillId="0" borderId="4" xfId="4" applyNumberFormat="1" applyFont="1" applyFill="1" applyBorder="1" applyAlignment="1" applyProtection="1">
      <alignment horizontal="right" vertical="center" wrapText="1"/>
      <protection hidden="1"/>
    </xf>
    <xf numFmtId="0" fontId="6" fillId="9" borderId="2" xfId="4" applyNumberFormat="1" applyFont="1" applyFill="1" applyBorder="1" applyAlignment="1" applyProtection="1">
      <alignment horizontal="right" vertical="center" wrapText="1"/>
      <protection hidden="1"/>
    </xf>
    <xf numFmtId="0" fontId="9" fillId="0" borderId="0" xfId="0" applyNumberFormat="1" applyFont="1" applyAlignment="1" applyProtection="1">
      <alignment wrapText="1"/>
      <protection hidden="1"/>
    </xf>
    <xf numFmtId="0" fontId="6" fillId="9" borderId="2" xfId="0" applyFont="1" applyFill="1" applyBorder="1" applyAlignment="1" applyProtection="1">
      <alignment horizontal="center" vertical="center" wrapText="1"/>
      <protection hidden="1"/>
    </xf>
    <xf numFmtId="2" fontId="6" fillId="9" borderId="2" xfId="0" applyNumberFormat="1" applyFont="1" applyFill="1" applyBorder="1" applyAlignment="1" applyProtection="1">
      <alignment horizontal="center" vertical="center" wrapText="1"/>
      <protection hidden="1"/>
    </xf>
    <xf numFmtId="0" fontId="6" fillId="9" borderId="2" xfId="0" applyFont="1" applyFill="1" applyBorder="1" applyAlignment="1">
      <alignment horizontal="center" vertical="center" wrapText="1"/>
    </xf>
    <xf numFmtId="2" fontId="6" fillId="9" borderId="2" xfId="0" applyNumberFormat="1" applyFont="1" applyFill="1" applyBorder="1" applyAlignment="1">
      <alignment horizontal="center" vertical="center" wrapText="1"/>
    </xf>
    <xf numFmtId="0" fontId="4" fillId="9" borderId="2" xfId="0" applyFont="1" applyFill="1" applyBorder="1" applyAlignment="1">
      <alignment horizontal="center" vertical="center" wrapText="1"/>
    </xf>
    <xf numFmtId="0" fontId="13" fillId="0" borderId="0" xfId="0" applyFont="1" applyAlignment="1"/>
    <xf numFmtId="0" fontId="6" fillId="0" borderId="0" xfId="0" applyFont="1" applyFill="1" applyBorder="1" applyAlignment="1">
      <alignment vertical="center"/>
    </xf>
    <xf numFmtId="0" fontId="5" fillId="14" borderId="2" xfId="0" applyFont="1" applyFill="1" applyBorder="1"/>
    <xf numFmtId="0" fontId="8" fillId="16" borderId="2" xfId="2" applyFont="1" applyFill="1" applyBorder="1" applyAlignment="1">
      <alignment horizontal="right" vertical="center" wrapText="1"/>
    </xf>
    <xf numFmtId="0" fontId="8" fillId="16" borderId="2" xfId="0" applyFont="1" applyFill="1" applyBorder="1" applyAlignment="1">
      <alignment horizontal="right" vertical="center"/>
    </xf>
    <xf numFmtId="0" fontId="8" fillId="0" borderId="2" xfId="0" applyFont="1" applyFill="1" applyBorder="1" applyAlignment="1">
      <alignment horizontal="right" vertical="center"/>
    </xf>
    <xf numFmtId="0" fontId="8" fillId="0" borderId="5" xfId="0" applyFont="1" applyFill="1" applyBorder="1" applyAlignment="1">
      <alignment horizontal="right" vertical="center"/>
    </xf>
    <xf numFmtId="0" fontId="8" fillId="0" borderId="0" xfId="0" applyFont="1" applyFill="1" applyAlignment="1">
      <alignment vertical="center" wrapText="1"/>
    </xf>
    <xf numFmtId="2" fontId="8" fillId="0" borderId="2" xfId="0" applyNumberFormat="1" applyFont="1" applyFill="1" applyBorder="1" applyAlignment="1">
      <alignment horizontal="right" vertical="center"/>
    </xf>
    <xf numFmtId="2" fontId="8" fillId="0" borderId="3" xfId="0" applyNumberFormat="1" applyFont="1" applyFill="1" applyBorder="1" applyAlignment="1">
      <alignment horizontal="right" vertical="center"/>
    </xf>
    <xf numFmtId="0" fontId="5" fillId="0" borderId="0" xfId="0" applyFont="1" applyFill="1" applyAlignment="1">
      <alignment vertical="center"/>
    </xf>
    <xf numFmtId="0" fontId="8" fillId="0" borderId="2" xfId="0" applyFont="1" applyFill="1" applyBorder="1" applyAlignment="1">
      <alignment vertical="center"/>
    </xf>
    <xf numFmtId="0" fontId="1" fillId="0" borderId="0" xfId="0" applyFont="1" applyFill="1" applyAlignment="1">
      <alignment vertical="center"/>
    </xf>
    <xf numFmtId="0" fontId="8" fillId="16" borderId="2" xfId="0" applyFont="1" applyFill="1" applyBorder="1" applyAlignment="1" applyProtection="1">
      <alignment horizontal="right" vertical="center"/>
      <protection locked="0"/>
    </xf>
    <xf numFmtId="2" fontId="8" fillId="0" borderId="2" xfId="0" applyNumberFormat="1" applyFont="1" applyFill="1" applyBorder="1" applyAlignment="1">
      <alignment vertical="center"/>
    </xf>
    <xf numFmtId="2" fontId="8" fillId="0" borderId="3" xfId="0" applyNumberFormat="1" applyFont="1" applyFill="1" applyBorder="1" applyAlignment="1">
      <alignment vertical="center"/>
    </xf>
    <xf numFmtId="0" fontId="8" fillId="0" borderId="5" xfId="0" applyFont="1" applyFill="1" applyBorder="1" applyAlignment="1">
      <alignment vertical="center"/>
    </xf>
    <xf numFmtId="1" fontId="8" fillId="0" borderId="2" xfId="0" applyNumberFormat="1" applyFont="1" applyFill="1" applyBorder="1" applyAlignment="1">
      <alignment vertical="center"/>
    </xf>
    <xf numFmtId="0" fontId="8" fillId="16" borderId="2" xfId="2" applyFont="1" applyFill="1" applyBorder="1" applyAlignment="1">
      <alignment vertical="center" wrapText="1"/>
    </xf>
    <xf numFmtId="0" fontId="8" fillId="16" borderId="2" xfId="0" applyFont="1" applyFill="1" applyBorder="1" applyAlignment="1" applyProtection="1">
      <alignment vertical="center"/>
      <protection locked="0"/>
    </xf>
    <xf numFmtId="0" fontId="4" fillId="8" borderId="8" xfId="4" quotePrefix="1" applyFont="1" applyFill="1" applyBorder="1" applyAlignment="1">
      <alignment horizontal="left" vertical="center" wrapText="1"/>
    </xf>
    <xf numFmtId="0" fontId="8" fillId="0" borderId="7" xfId="2" applyFont="1" applyFill="1" applyBorder="1" applyAlignment="1">
      <alignment horizontal="center" vertical="center" wrapText="1"/>
    </xf>
    <xf numFmtId="0" fontId="8" fillId="0" borderId="7" xfId="2" applyFont="1" applyFill="1" applyBorder="1" applyAlignment="1">
      <alignment horizontal="left" vertical="center" wrapText="1"/>
    </xf>
    <xf numFmtId="0" fontId="8" fillId="16" borderId="7" xfId="2" applyFont="1" applyFill="1" applyBorder="1" applyAlignment="1">
      <alignment horizontal="right" vertical="center" wrapText="1"/>
    </xf>
    <xf numFmtId="0" fontId="8" fillId="16" borderId="7" xfId="0" applyFont="1" applyFill="1" applyBorder="1" applyAlignment="1" applyProtection="1">
      <alignment horizontal="right" vertical="center"/>
      <protection locked="0"/>
    </xf>
    <xf numFmtId="0" fontId="8" fillId="0" borderId="7" xfId="0" applyFont="1" applyFill="1" applyBorder="1" applyAlignment="1">
      <alignment horizontal="right" vertical="center"/>
    </xf>
    <xf numFmtId="2" fontId="8" fillId="0" borderId="7" xfId="0" applyNumberFormat="1" applyFont="1" applyFill="1" applyBorder="1" applyAlignment="1">
      <alignment horizontal="right" vertical="center"/>
    </xf>
    <xf numFmtId="2" fontId="8" fillId="0" borderId="10" xfId="0" applyNumberFormat="1" applyFont="1" applyFill="1" applyBorder="1" applyAlignment="1">
      <alignment horizontal="right" vertical="center"/>
    </xf>
    <xf numFmtId="0" fontId="8" fillId="16" borderId="7" xfId="2" applyFont="1" applyFill="1" applyBorder="1" applyAlignment="1">
      <alignment vertical="center" wrapText="1"/>
    </xf>
    <xf numFmtId="0" fontId="8" fillId="16" borderId="7" xfId="0" applyFont="1" applyFill="1" applyBorder="1" applyAlignment="1" applyProtection="1">
      <alignment vertical="center"/>
      <protection locked="0"/>
    </xf>
    <xf numFmtId="0" fontId="8" fillId="0" borderId="7" xfId="0" applyFont="1" applyFill="1" applyBorder="1" applyAlignment="1">
      <alignment vertical="center"/>
    </xf>
    <xf numFmtId="2" fontId="8" fillId="0" borderId="7" xfId="0" applyNumberFormat="1" applyFont="1" applyFill="1" applyBorder="1" applyAlignment="1">
      <alignment vertical="center"/>
    </xf>
    <xf numFmtId="2" fontId="8" fillId="0" borderId="10" xfId="0" applyNumberFormat="1" applyFont="1" applyFill="1" applyBorder="1" applyAlignment="1">
      <alignment vertical="center"/>
    </xf>
    <xf numFmtId="0" fontId="8" fillId="0" borderId="11" xfId="0" applyFont="1" applyFill="1" applyBorder="1" applyAlignment="1">
      <alignment vertical="center"/>
    </xf>
    <xf numFmtId="0" fontId="8" fillId="0" borderId="7" xfId="2" applyFont="1" applyFill="1" applyBorder="1" applyAlignment="1">
      <alignment vertical="center" wrapText="1"/>
    </xf>
    <xf numFmtId="0" fontId="8" fillId="0" borderId="11" xfId="0" applyFont="1" applyFill="1" applyBorder="1" applyAlignment="1">
      <alignment horizontal="right" vertical="center"/>
    </xf>
    <xf numFmtId="0" fontId="8" fillId="0" borderId="7" xfId="2" applyFont="1" applyFill="1" applyBorder="1" applyAlignment="1">
      <alignment horizontal="right" vertical="center" wrapText="1"/>
    </xf>
    <xf numFmtId="0" fontId="4" fillId="8" borderId="8" xfId="4" quotePrefix="1" applyFont="1" applyFill="1" applyBorder="1" applyAlignment="1">
      <alignment vertical="center" wrapText="1"/>
    </xf>
    <xf numFmtId="0" fontId="8" fillId="10" borderId="0" xfId="0" applyFont="1" applyFill="1" applyBorder="1" applyAlignment="1">
      <alignment horizontal="right" vertical="center"/>
    </xf>
    <xf numFmtId="0" fontId="8" fillId="14" borderId="8" xfId="0" applyFont="1" applyFill="1" applyBorder="1" applyAlignment="1">
      <alignment horizontal="center" vertical="center" wrapText="1"/>
    </xf>
    <xf numFmtId="0" fontId="8" fillId="14" borderId="8" xfId="0" applyFont="1" applyFill="1" applyBorder="1" applyAlignment="1">
      <alignment horizontal="right" vertical="center" wrapText="1"/>
    </xf>
    <xf numFmtId="2" fontId="8" fillId="14" borderId="8" xfId="0" applyNumberFormat="1" applyFont="1" applyFill="1" applyBorder="1" applyAlignment="1">
      <alignment horizontal="right" vertical="center"/>
    </xf>
    <xf numFmtId="0" fontId="8" fillId="14" borderId="8" xfId="0" applyFont="1" applyFill="1" applyBorder="1" applyAlignment="1">
      <alignment horizontal="right" vertical="center"/>
    </xf>
    <xf numFmtId="0" fontId="8" fillId="14" borderId="8" xfId="0" applyFont="1" applyFill="1" applyBorder="1" applyAlignment="1">
      <alignment vertical="center"/>
    </xf>
    <xf numFmtId="2" fontId="8" fillId="14" borderId="13" xfId="0" applyNumberFormat="1" applyFont="1" applyFill="1" applyBorder="1" applyAlignment="1">
      <alignment horizontal="right" vertical="center"/>
    </xf>
    <xf numFmtId="2" fontId="8" fillId="10" borderId="0" xfId="0" applyNumberFormat="1" applyFont="1" applyFill="1" applyBorder="1" applyAlignment="1">
      <alignment horizontal="right" vertical="center"/>
    </xf>
    <xf numFmtId="0" fontId="8" fillId="14" borderId="15" xfId="0" applyFont="1" applyFill="1" applyBorder="1" applyAlignment="1">
      <alignment horizontal="right" vertical="center"/>
    </xf>
    <xf numFmtId="0" fontId="8" fillId="14" borderId="8" xfId="3" applyFont="1" applyFill="1" applyBorder="1" applyAlignment="1">
      <alignment horizontal="right" vertical="center" wrapText="1"/>
    </xf>
    <xf numFmtId="0" fontId="8" fillId="16" borderId="2" xfId="2" applyFont="1" applyFill="1" applyBorder="1" applyAlignment="1" applyProtection="1">
      <alignment horizontal="right" vertical="center" wrapText="1"/>
      <protection locked="0"/>
    </xf>
    <xf numFmtId="2" fontId="4" fillId="9" borderId="2" xfId="0" applyNumberFormat="1" applyFont="1" applyFill="1" applyBorder="1" applyAlignment="1">
      <alignment horizontal="center" vertical="center" wrapText="1"/>
    </xf>
    <xf numFmtId="0" fontId="4" fillId="9" borderId="2" xfId="0" applyFont="1" applyFill="1" applyBorder="1" applyAlignment="1" applyProtection="1">
      <alignment horizontal="center" vertical="center" wrapText="1"/>
      <protection hidden="1"/>
    </xf>
    <xf numFmtId="2" fontId="4" fillId="9" borderId="2" xfId="0" applyNumberFormat="1" applyFont="1" applyFill="1" applyBorder="1" applyAlignment="1" applyProtection="1">
      <alignment horizontal="center" vertical="center" wrapText="1"/>
      <protection hidden="1"/>
    </xf>
    <xf numFmtId="0" fontId="4" fillId="9" borderId="17" xfId="3" applyFont="1" applyFill="1" applyBorder="1" applyAlignment="1">
      <alignment horizontal="center" vertical="center" wrapText="1"/>
    </xf>
    <xf numFmtId="0" fontId="4" fillId="9" borderId="17" xfId="3" applyFont="1" applyFill="1" applyBorder="1" applyAlignment="1">
      <alignment horizontal="left" vertical="center" wrapText="1"/>
    </xf>
    <xf numFmtId="0" fontId="4" fillId="9" borderId="17" xfId="2" applyFont="1" applyFill="1" applyBorder="1" applyAlignment="1">
      <alignment horizontal="right" vertical="center" wrapText="1"/>
    </xf>
    <xf numFmtId="0" fontId="4" fillId="9" borderId="17" xfId="0" applyFont="1" applyFill="1" applyBorder="1" applyAlignment="1">
      <alignment horizontal="right" vertical="center"/>
    </xf>
    <xf numFmtId="2" fontId="4" fillId="9" borderId="17" xfId="0" applyNumberFormat="1" applyFont="1" applyFill="1" applyBorder="1" applyAlignment="1">
      <alignment horizontal="right" vertical="center"/>
    </xf>
    <xf numFmtId="0" fontId="4" fillId="9" borderId="17" xfId="2" applyFont="1" applyFill="1" applyBorder="1" applyAlignment="1">
      <alignment vertical="center" wrapText="1"/>
    </xf>
    <xf numFmtId="0" fontId="4" fillId="9" borderId="17" xfId="0" applyFont="1" applyFill="1" applyBorder="1" applyAlignment="1">
      <alignment vertical="center"/>
    </xf>
    <xf numFmtId="2" fontId="4" fillId="9" borderId="17" xfId="0" applyNumberFormat="1" applyFont="1" applyFill="1" applyBorder="1" applyAlignment="1">
      <alignment vertical="center"/>
    </xf>
    <xf numFmtId="0" fontId="4" fillId="9" borderId="17" xfId="3" applyFont="1" applyFill="1" applyBorder="1" applyAlignment="1">
      <alignment vertical="center" wrapText="1"/>
    </xf>
    <xf numFmtId="0" fontId="4" fillId="9" borderId="17" xfId="3" applyFont="1" applyFill="1" applyBorder="1" applyAlignment="1">
      <alignment horizontal="right" vertical="center" wrapText="1"/>
    </xf>
    <xf numFmtId="0" fontId="8" fillId="10" borderId="0" xfId="0" applyFont="1" applyFill="1" applyBorder="1" applyAlignment="1" applyProtection="1">
      <alignment horizontal="right" vertical="center"/>
      <protection locked="0"/>
    </xf>
    <xf numFmtId="0" fontId="8" fillId="0" borderId="3" xfId="0" applyFont="1" applyFill="1" applyBorder="1" applyAlignment="1">
      <alignment horizontal="right" vertical="center"/>
    </xf>
    <xf numFmtId="0" fontId="0" fillId="0" borderId="2" xfId="0" applyBorder="1"/>
    <xf numFmtId="0" fontId="9" fillId="0" borderId="7" xfId="2" applyFont="1" applyFill="1" applyBorder="1" applyAlignment="1">
      <alignment horizontal="center" vertical="center" wrapText="1"/>
    </xf>
    <xf numFmtId="0" fontId="9" fillId="0" borderId="7" xfId="2" applyFont="1" applyFill="1" applyBorder="1" applyAlignment="1">
      <alignment vertical="center" wrapText="1"/>
    </xf>
    <xf numFmtId="0" fontId="9" fillId="13" borderId="7" xfId="2" applyFont="1" applyFill="1" applyBorder="1" applyAlignment="1">
      <alignment horizontal="right" vertical="center" wrapText="1"/>
    </xf>
    <xf numFmtId="0" fontId="9" fillId="0" borderId="7" xfId="2" applyFont="1" applyFill="1" applyBorder="1" applyAlignment="1">
      <alignment horizontal="right" vertical="center" wrapText="1"/>
    </xf>
    <xf numFmtId="2" fontId="9" fillId="0" borderId="7" xfId="2" applyNumberFormat="1" applyFont="1" applyFill="1" applyBorder="1" applyAlignment="1">
      <alignment horizontal="right" vertical="center" wrapText="1"/>
    </xf>
    <xf numFmtId="0" fontId="9" fillId="13" borderId="7" xfId="2" applyFont="1" applyFill="1" applyBorder="1" applyAlignment="1" applyProtection="1">
      <alignment horizontal="right" vertical="center" wrapText="1"/>
      <protection locked="0"/>
    </xf>
    <xf numFmtId="0" fontId="9" fillId="0" borderId="7" xfId="2" applyFont="1" applyFill="1" applyBorder="1" applyAlignment="1" applyProtection="1">
      <alignment horizontal="right" vertical="center" wrapText="1"/>
      <protection locked="0"/>
    </xf>
    <xf numFmtId="0" fontId="6" fillId="9" borderId="17" xfId="3" applyFont="1" applyFill="1" applyBorder="1" applyAlignment="1">
      <alignment horizontal="center" vertical="center" wrapText="1"/>
    </xf>
    <xf numFmtId="0" fontId="6" fillId="9" borderId="17" xfId="3" applyFont="1" applyFill="1" applyBorder="1" applyAlignment="1">
      <alignment vertical="center" wrapText="1"/>
    </xf>
    <xf numFmtId="0" fontId="6" fillId="9" borderId="17" xfId="3" applyFont="1" applyFill="1" applyBorder="1" applyAlignment="1">
      <alignment horizontal="right" vertical="center" wrapText="1"/>
    </xf>
    <xf numFmtId="2" fontId="6" fillId="9" borderId="17" xfId="3" applyNumberFormat="1" applyFont="1" applyFill="1" applyBorder="1" applyAlignment="1">
      <alignment horizontal="right" vertical="center" wrapText="1"/>
    </xf>
    <xf numFmtId="0" fontId="6" fillId="9" borderId="17" xfId="2" applyFont="1" applyFill="1" applyBorder="1" applyAlignment="1">
      <alignment horizontal="right" vertical="center" wrapText="1"/>
    </xf>
    <xf numFmtId="2" fontId="6" fillId="9" borderId="17" xfId="2" applyNumberFormat="1" applyFont="1" applyFill="1" applyBorder="1" applyAlignment="1">
      <alignment horizontal="right" vertical="center" wrapText="1"/>
    </xf>
    <xf numFmtId="0" fontId="6" fillId="9" borderId="17" xfId="2" applyFont="1" applyFill="1" applyBorder="1" applyAlignment="1" applyProtection="1">
      <alignment horizontal="right" vertical="center" wrapText="1"/>
      <protection locked="0"/>
    </xf>
    <xf numFmtId="0" fontId="6" fillId="8" borderId="8" xfId="4" quotePrefix="1" applyFont="1" applyFill="1" applyBorder="1" applyAlignment="1">
      <alignment horizontal="left" vertical="center" wrapText="1"/>
    </xf>
    <xf numFmtId="0" fontId="9" fillId="15" borderId="8" xfId="0" applyFont="1" applyFill="1" applyBorder="1" applyAlignment="1">
      <alignment horizontal="center" vertical="center" wrapText="1"/>
    </xf>
    <xf numFmtId="0" fontId="9" fillId="15" borderId="8" xfId="0" applyFont="1" applyFill="1" applyBorder="1" applyAlignment="1">
      <alignment vertical="center" wrapText="1"/>
    </xf>
    <xf numFmtId="0" fontId="9" fillId="15" borderId="8" xfId="0" applyFont="1" applyFill="1" applyBorder="1" applyAlignment="1">
      <alignment horizontal="right" vertical="center" wrapText="1"/>
    </xf>
    <xf numFmtId="2" fontId="9" fillId="15" borderId="8" xfId="0" applyNumberFormat="1" applyFont="1" applyFill="1" applyBorder="1" applyAlignment="1">
      <alignment horizontal="right" vertical="center" wrapText="1"/>
    </xf>
    <xf numFmtId="0" fontId="9" fillId="15" borderId="8" xfId="2" applyFont="1" applyFill="1" applyBorder="1" applyAlignment="1">
      <alignment horizontal="right" vertical="center" wrapText="1"/>
    </xf>
    <xf numFmtId="2" fontId="9" fillId="15" borderId="8" xfId="2" applyNumberFormat="1" applyFont="1" applyFill="1" applyBorder="1" applyAlignment="1">
      <alignment horizontal="right" vertical="center" wrapText="1"/>
    </xf>
    <xf numFmtId="0" fontId="9" fillId="15" borderId="8" xfId="2" applyFont="1" applyFill="1" applyBorder="1" applyAlignment="1" applyProtection="1">
      <alignment horizontal="right" vertical="center" wrapText="1"/>
      <protection locked="0"/>
    </xf>
    <xf numFmtId="0" fontId="9" fillId="15" borderId="13" xfId="0" applyFont="1" applyFill="1" applyBorder="1" applyAlignment="1">
      <alignment horizontal="right" vertical="center" wrapText="1"/>
    </xf>
    <xf numFmtId="0" fontId="9" fillId="10" borderId="18" xfId="2" applyFont="1" applyFill="1" applyBorder="1" applyAlignment="1">
      <alignment horizontal="right" vertical="center" wrapText="1"/>
    </xf>
    <xf numFmtId="2" fontId="9" fillId="0" borderId="3" xfId="2" applyNumberFormat="1" applyFont="1" applyFill="1" applyBorder="1" applyAlignment="1">
      <alignment horizontal="right" vertical="center" wrapText="1"/>
    </xf>
    <xf numFmtId="2" fontId="9" fillId="0" borderId="10" xfId="2" applyNumberFormat="1" applyFont="1" applyFill="1" applyBorder="1" applyAlignment="1">
      <alignment horizontal="right" vertical="center" wrapText="1"/>
    </xf>
    <xf numFmtId="0" fontId="6" fillId="9" borderId="19" xfId="3" applyFont="1" applyFill="1" applyBorder="1" applyAlignment="1">
      <alignment horizontal="right" vertical="center" wrapText="1"/>
    </xf>
    <xf numFmtId="0" fontId="6" fillId="9" borderId="20" xfId="3" applyFont="1" applyFill="1" applyBorder="1" applyAlignment="1">
      <alignment horizontal="right" vertical="center" wrapText="1"/>
    </xf>
    <xf numFmtId="3" fontId="9" fillId="13" borderId="2" xfId="4" applyNumberFormat="1" applyFont="1" applyFill="1" applyBorder="1" applyAlignment="1" applyProtection="1">
      <alignment horizontal="right" vertical="center" wrapText="1"/>
      <protection locked="0" hidden="1"/>
    </xf>
    <xf numFmtId="0" fontId="9" fillId="13" borderId="2" xfId="1" applyFont="1" applyFill="1" applyBorder="1" applyAlignment="1" applyProtection="1">
      <alignment horizontal="right" vertical="center" wrapText="1"/>
      <protection locked="0" hidden="1"/>
    </xf>
    <xf numFmtId="3" fontId="9" fillId="13" borderId="2" xfId="4" applyNumberFormat="1" applyFont="1" applyFill="1" applyBorder="1" applyAlignment="1" applyProtection="1">
      <alignment horizontal="right" vertical="center" wrapText="1"/>
      <protection hidden="1"/>
    </xf>
    <xf numFmtId="3" fontId="9" fillId="13" borderId="2" xfId="1" applyNumberFormat="1" applyFont="1" applyFill="1" applyBorder="1" applyAlignment="1" applyProtection="1">
      <alignment horizontal="right" vertical="center" wrapText="1"/>
      <protection hidden="1"/>
    </xf>
    <xf numFmtId="0" fontId="9" fillId="13" borderId="2" xfId="4" applyFont="1" applyFill="1" applyBorder="1" applyAlignment="1" applyProtection="1">
      <alignment horizontal="right" vertical="center" wrapText="1"/>
      <protection locked="0" hidden="1"/>
    </xf>
    <xf numFmtId="0" fontId="9" fillId="13" borderId="5" xfId="4" applyFont="1" applyFill="1" applyBorder="1" applyAlignment="1" applyProtection="1">
      <alignment horizontal="right" vertical="center" wrapText="1"/>
      <protection hidden="1"/>
    </xf>
    <xf numFmtId="0" fontId="9" fillId="13" borderId="5" xfId="1" applyFont="1" applyFill="1" applyBorder="1" applyAlignment="1" applyProtection="1">
      <alignment horizontal="right" vertical="center" wrapText="1"/>
      <protection hidden="1"/>
    </xf>
    <xf numFmtId="0" fontId="9" fillId="13" borderId="2" xfId="4" applyFont="1" applyFill="1" applyBorder="1" applyAlignment="1" applyProtection="1">
      <alignment horizontal="right" vertical="center" wrapText="1"/>
      <protection hidden="1"/>
    </xf>
    <xf numFmtId="0" fontId="8" fillId="0" borderId="2" xfId="3" applyFont="1" applyFill="1" applyBorder="1" applyAlignment="1">
      <alignment horizontal="center" vertical="center" wrapText="1"/>
    </xf>
    <xf numFmtId="0" fontId="8" fillId="0" borderId="2" xfId="3" applyFont="1" applyFill="1" applyBorder="1" applyAlignment="1">
      <alignment horizontal="left" vertical="center" wrapText="1"/>
    </xf>
    <xf numFmtId="0" fontId="8" fillId="0" borderId="13" xfId="0" applyFont="1" applyFill="1" applyBorder="1" applyAlignment="1">
      <alignment horizontal="right" vertical="center"/>
    </xf>
    <xf numFmtId="2" fontId="8" fillId="0" borderId="14" xfId="0" applyNumberFormat="1" applyFont="1" applyFill="1" applyBorder="1" applyAlignment="1">
      <alignment horizontal="right" vertical="center"/>
    </xf>
    <xf numFmtId="0" fontId="8" fillId="0" borderId="14" xfId="0" applyFont="1" applyFill="1" applyBorder="1" applyAlignment="1">
      <alignment horizontal="right" vertical="center"/>
    </xf>
    <xf numFmtId="2" fontId="8" fillId="0" borderId="15" xfId="0" applyNumberFormat="1" applyFont="1" applyFill="1" applyBorder="1" applyAlignment="1">
      <alignment horizontal="right" vertical="center"/>
    </xf>
    <xf numFmtId="0" fontId="8" fillId="0" borderId="4" xfId="0" applyFont="1" applyFill="1" applyBorder="1" applyAlignment="1">
      <alignment horizontal="right" vertical="center"/>
    </xf>
    <xf numFmtId="0" fontId="8" fillId="0" borderId="13" xfId="3" applyFont="1" applyFill="1" applyBorder="1" applyAlignment="1">
      <alignment horizontal="right" vertical="center" wrapText="1"/>
    </xf>
    <xf numFmtId="0" fontId="8" fillId="0" borderId="14" xfId="3" applyFont="1" applyFill="1" applyBorder="1" applyAlignment="1">
      <alignment horizontal="right" vertical="center" wrapText="1"/>
    </xf>
    <xf numFmtId="0" fontId="8" fillId="0" borderId="15" xfId="3" applyFont="1" applyFill="1" applyBorder="1" applyAlignment="1">
      <alignment horizontal="right" vertical="center" wrapText="1"/>
    </xf>
    <xf numFmtId="0" fontId="8" fillId="13" borderId="2" xfId="2" applyFont="1" applyFill="1" applyBorder="1" applyAlignment="1">
      <alignment horizontal="right" vertical="center" wrapText="1"/>
    </xf>
    <xf numFmtId="0" fontId="8" fillId="13" borderId="2" xfId="0" applyFont="1" applyFill="1" applyBorder="1" applyAlignment="1" applyProtection="1">
      <alignment horizontal="right" vertical="center"/>
      <protection locked="0"/>
    </xf>
    <xf numFmtId="0" fontId="8" fillId="13" borderId="2" xfId="0" applyFont="1" applyFill="1" applyBorder="1" applyAlignment="1">
      <alignment horizontal="right" vertical="center"/>
    </xf>
    <xf numFmtId="2" fontId="4" fillId="9" borderId="21" xfId="0" applyNumberFormat="1" applyFont="1" applyFill="1" applyBorder="1" applyAlignment="1">
      <alignment vertical="center"/>
    </xf>
    <xf numFmtId="0" fontId="4" fillId="9" borderId="22" xfId="0" applyFont="1" applyFill="1" applyBorder="1" applyAlignment="1">
      <alignment vertical="center"/>
    </xf>
    <xf numFmtId="2" fontId="8" fillId="10" borderId="0" xfId="0" applyNumberFormat="1" applyFont="1" applyFill="1" applyBorder="1" applyAlignment="1">
      <alignment vertical="center"/>
    </xf>
    <xf numFmtId="0" fontId="8" fillId="10" borderId="0" xfId="0" applyFont="1" applyFill="1" applyBorder="1" applyAlignment="1" applyProtection="1">
      <alignment vertical="center"/>
      <protection locked="0"/>
    </xf>
    <xf numFmtId="0" fontId="8" fillId="10" borderId="13" xfId="0" applyFont="1" applyFill="1" applyBorder="1" applyAlignment="1">
      <alignment vertical="center"/>
    </xf>
    <xf numFmtId="2" fontId="8" fillId="10" borderId="15" xfId="0" applyNumberFormat="1" applyFont="1" applyFill="1" applyBorder="1" applyAlignment="1">
      <alignment vertical="center"/>
    </xf>
    <xf numFmtId="2" fontId="4" fillId="9" borderId="21" xfId="0" applyNumberFormat="1" applyFont="1" applyFill="1" applyBorder="1" applyAlignment="1">
      <alignment horizontal="right" vertical="center"/>
    </xf>
    <xf numFmtId="0" fontId="4" fillId="9" borderId="22" xfId="0" applyFont="1" applyFill="1" applyBorder="1" applyAlignment="1">
      <alignment horizontal="right" vertical="center"/>
    </xf>
    <xf numFmtId="0" fontId="8" fillId="10" borderId="13" xfId="0" applyFont="1" applyFill="1" applyBorder="1" applyAlignment="1">
      <alignment horizontal="right" vertical="center"/>
    </xf>
    <xf numFmtId="2" fontId="8" fillId="10" borderId="15" xfId="0" applyNumberFormat="1" applyFont="1" applyFill="1" applyBorder="1" applyAlignment="1">
      <alignment horizontal="right" vertical="center"/>
    </xf>
    <xf numFmtId="0" fontId="8" fillId="10" borderId="9" xfId="0" applyFont="1" applyFill="1" applyBorder="1" applyAlignment="1">
      <alignment horizontal="right" vertical="center"/>
    </xf>
    <xf numFmtId="0" fontId="29" fillId="0" borderId="0" xfId="0" applyFont="1" applyAlignment="1">
      <alignment horizontal="left" vertical="top"/>
    </xf>
    <xf numFmtId="0" fontId="15" fillId="9" borderId="3" xfId="0" applyFont="1" applyFill="1" applyBorder="1" applyAlignment="1" applyProtection="1">
      <alignment horizontal="center" vertical="center" wrapText="1"/>
      <protection hidden="1"/>
    </xf>
    <xf numFmtId="0" fontId="15" fillId="9" borderId="4" xfId="0" applyFont="1" applyFill="1" applyBorder="1" applyAlignment="1" applyProtection="1">
      <alignment horizontal="center" vertical="center" wrapText="1"/>
      <protection hidden="1"/>
    </xf>
    <xf numFmtId="0" fontId="15" fillId="9" borderId="5" xfId="0" applyFont="1" applyFill="1" applyBorder="1" applyAlignment="1" applyProtection="1">
      <alignment horizontal="center" vertical="center" wrapText="1"/>
      <protection hidden="1"/>
    </xf>
    <xf numFmtId="0" fontId="20" fillId="0" borderId="0" xfId="0" applyFont="1" applyAlignment="1">
      <alignment horizontal="center" vertical="center"/>
    </xf>
    <xf numFmtId="0" fontId="20" fillId="0" borderId="2" xfId="0" applyFont="1" applyBorder="1" applyAlignment="1" applyProtection="1">
      <alignment horizontal="left" vertical="center" wrapText="1"/>
      <protection hidden="1"/>
    </xf>
    <xf numFmtId="0" fontId="24" fillId="0" borderId="0" xfId="0" applyFont="1" applyAlignment="1" applyProtection="1">
      <alignment horizontal="left" vertical="center" wrapText="1"/>
      <protection hidden="1"/>
    </xf>
    <xf numFmtId="0" fontId="24" fillId="0" borderId="6" xfId="0" applyFont="1" applyBorder="1" applyAlignment="1" applyProtection="1">
      <alignment horizontal="left" vertical="center" wrapText="1"/>
      <protection hidden="1"/>
    </xf>
    <xf numFmtId="0" fontId="24" fillId="0" borderId="0" xfId="0" applyFont="1" applyAlignment="1" applyProtection="1">
      <alignment horizontal="center" vertical="center" wrapText="1"/>
      <protection hidden="1"/>
    </xf>
    <xf numFmtId="0" fontId="22" fillId="0" borderId="2" xfId="0" applyFont="1" applyBorder="1" applyAlignment="1" applyProtection="1">
      <alignment horizontal="left" vertical="center" wrapText="1"/>
      <protection hidden="1"/>
    </xf>
    <xf numFmtId="0" fontId="22" fillId="0" borderId="7" xfId="0" applyFont="1" applyBorder="1" applyAlignment="1" applyProtection="1">
      <alignment horizontal="left" vertical="center" wrapText="1"/>
      <protection hidden="1"/>
    </xf>
    <xf numFmtId="0" fontId="26" fillId="0" borderId="2" xfId="0" applyFont="1" applyBorder="1" applyAlignment="1" applyProtection="1">
      <alignment horizontal="center" vertical="center" wrapText="1"/>
      <protection hidden="1"/>
    </xf>
    <xf numFmtId="0" fontId="21" fillId="8" borderId="2" xfId="0" applyFont="1" applyFill="1" applyBorder="1" applyAlignment="1" applyProtection="1">
      <alignment horizontal="center" vertical="center" wrapText="1"/>
      <protection hidden="1"/>
    </xf>
    <xf numFmtId="165" fontId="18" fillId="0" borderId="2" xfId="0" applyNumberFormat="1" applyFont="1" applyBorder="1" applyAlignment="1" applyProtection="1">
      <alignment horizontal="center" vertical="center"/>
      <protection hidden="1"/>
    </xf>
    <xf numFmtId="165" fontId="18" fillId="0" borderId="7" xfId="0" applyNumberFormat="1" applyFont="1" applyBorder="1" applyAlignment="1" applyProtection="1">
      <alignment horizontal="center" vertical="center"/>
      <protection hidden="1"/>
    </xf>
    <xf numFmtId="0" fontId="24" fillId="10" borderId="2" xfId="5" applyFont="1" applyFill="1" applyBorder="1" applyAlignment="1" applyProtection="1">
      <alignment horizontal="center" vertical="center"/>
      <protection locked="0" hidden="1"/>
    </xf>
    <xf numFmtId="0" fontId="24" fillId="0" borderId="2" xfId="5" applyFont="1" applyFill="1" applyBorder="1" applyAlignment="1" applyProtection="1">
      <alignment vertical="center" wrapText="1"/>
      <protection hidden="1"/>
    </xf>
    <xf numFmtId="0" fontId="24" fillId="0" borderId="2" xfId="1" applyFont="1" applyFill="1" applyBorder="1" applyAlignment="1" applyProtection="1">
      <alignment vertical="center" wrapText="1"/>
      <protection hidden="1"/>
    </xf>
    <xf numFmtId="0" fontId="28" fillId="11" borderId="2" xfId="0" applyFont="1" applyFill="1" applyBorder="1" applyAlignment="1" applyProtection="1">
      <alignment horizontal="center" vertical="center" wrapText="1"/>
      <protection hidden="1"/>
    </xf>
    <xf numFmtId="0" fontId="23" fillId="9" borderId="2" xfId="5" applyFont="1" applyFill="1" applyBorder="1" applyAlignment="1" applyProtection="1">
      <alignment horizontal="center" vertical="center"/>
      <protection hidden="1"/>
    </xf>
    <xf numFmtId="0" fontId="14" fillId="9" borderId="3" xfId="0" applyFont="1" applyFill="1" applyBorder="1" applyAlignment="1" applyProtection="1">
      <alignment horizontal="left" vertical="center"/>
      <protection hidden="1"/>
    </xf>
    <xf numFmtId="0" fontId="14" fillId="9" borderId="4" xfId="0" applyFont="1" applyFill="1" applyBorder="1" applyAlignment="1" applyProtection="1">
      <alignment horizontal="left" vertical="center"/>
      <protection hidden="1"/>
    </xf>
    <xf numFmtId="0" fontId="14" fillId="9" borderId="5" xfId="0" applyFont="1" applyFill="1" applyBorder="1" applyAlignment="1" applyProtection="1">
      <alignment horizontal="left" vertical="center"/>
      <protection hidden="1"/>
    </xf>
    <xf numFmtId="0" fontId="6" fillId="9" borderId="2" xfId="0" applyFont="1" applyFill="1" applyBorder="1" applyAlignment="1" applyProtection="1">
      <alignment horizontal="center" vertical="center" wrapText="1"/>
      <protection hidden="1"/>
    </xf>
    <xf numFmtId="0" fontId="6" fillId="9" borderId="7" xfId="0" applyFont="1" applyFill="1" applyBorder="1" applyAlignment="1" applyProtection="1">
      <alignment horizontal="center" vertical="center" wrapText="1"/>
      <protection hidden="1"/>
    </xf>
    <xf numFmtId="0" fontId="6" fillId="9" borderId="2" xfId="0" applyNumberFormat="1" applyFont="1" applyFill="1" applyBorder="1" applyAlignment="1" applyProtection="1">
      <alignment horizontal="center" vertical="center" wrapText="1"/>
      <protection hidden="1"/>
    </xf>
    <xf numFmtId="2" fontId="6" fillId="9" borderId="2" xfId="0" applyNumberFormat="1" applyFont="1" applyFill="1" applyBorder="1" applyAlignment="1" applyProtection="1">
      <alignment horizontal="center" vertical="center" wrapText="1"/>
      <protection hidden="1"/>
    </xf>
    <xf numFmtId="0" fontId="6" fillId="9" borderId="2" xfId="1" applyFont="1" applyFill="1" applyBorder="1" applyAlignment="1" applyProtection="1">
      <alignment horizontal="center" vertical="center" wrapText="1"/>
      <protection hidden="1"/>
    </xf>
    <xf numFmtId="0" fontId="14" fillId="9" borderId="0" xfId="0" applyFont="1" applyFill="1" applyAlignment="1">
      <alignment horizontal="left" vertical="center"/>
    </xf>
    <xf numFmtId="0" fontId="6" fillId="8" borderId="13" xfId="4" applyFont="1" applyFill="1" applyBorder="1" applyAlignment="1">
      <alignment horizontal="left" vertical="center" wrapText="1"/>
    </xf>
    <xf numFmtId="0" fontId="6" fillId="8" borderId="14" xfId="4" applyFont="1" applyFill="1" applyBorder="1" applyAlignment="1">
      <alignment horizontal="left" vertical="center" wrapText="1"/>
    </xf>
    <xf numFmtId="0" fontId="6" fillId="8" borderId="0" xfId="4" applyFont="1" applyFill="1" applyBorder="1" applyAlignment="1">
      <alignment horizontal="left" vertical="center" wrapText="1"/>
    </xf>
    <xf numFmtId="0" fontId="6" fillId="8" borderId="12" xfId="4" applyFont="1" applyFill="1" applyBorder="1" applyAlignment="1">
      <alignment horizontal="left" vertical="center" wrapText="1"/>
    </xf>
    <xf numFmtId="0" fontId="6" fillId="8" borderId="3" xfId="4" applyFont="1" applyFill="1" applyBorder="1" applyAlignment="1">
      <alignment horizontal="left" vertical="center" wrapText="1"/>
    </xf>
    <xf numFmtId="0" fontId="6" fillId="8" borderId="4" xfId="4" applyFont="1" applyFill="1" applyBorder="1" applyAlignment="1">
      <alignment horizontal="left" vertical="center" wrapText="1"/>
    </xf>
    <xf numFmtId="0" fontId="6" fillId="8" borderId="6" xfId="4" applyFont="1" applyFill="1" applyBorder="1" applyAlignment="1">
      <alignment horizontal="left" vertical="center" wrapText="1"/>
    </xf>
    <xf numFmtId="0" fontId="6" fillId="8" borderId="11" xfId="4" applyFont="1" applyFill="1" applyBorder="1" applyAlignment="1">
      <alignment horizontal="left" vertical="center" wrapText="1"/>
    </xf>
    <xf numFmtId="0" fontId="6" fillId="9" borderId="2" xfId="0" applyFont="1" applyFill="1" applyBorder="1" applyAlignment="1">
      <alignment horizontal="center" vertical="center" wrapText="1"/>
    </xf>
    <xf numFmtId="2" fontId="6" fillId="9" borderId="2" xfId="0" applyNumberFormat="1" applyFont="1" applyFill="1" applyBorder="1" applyAlignment="1">
      <alignment horizontal="center" vertical="center" wrapText="1"/>
    </xf>
    <xf numFmtId="0" fontId="5" fillId="0" borderId="0" xfId="0" applyFont="1" applyAlignment="1">
      <alignment horizontal="center" vertical="center"/>
    </xf>
    <xf numFmtId="0" fontId="13" fillId="0" borderId="0" xfId="0" applyFont="1" applyAlignment="1">
      <alignment horizontal="center" vertical="center" wrapText="1"/>
    </xf>
    <xf numFmtId="0" fontId="15" fillId="9" borderId="0" xfId="0" applyFont="1" applyFill="1" applyAlignment="1">
      <alignment horizontal="center" vertical="center" wrapText="1"/>
    </xf>
    <xf numFmtId="0" fontId="4" fillId="8" borderId="8" xfId="4" applyFont="1" applyFill="1" applyBorder="1" applyAlignment="1">
      <alignment horizontal="left" vertical="center" wrapText="1"/>
    </xf>
    <xf numFmtId="0" fontId="4" fillId="8" borderId="16" xfId="4" applyFont="1" applyFill="1" applyBorder="1" applyAlignment="1">
      <alignment horizontal="left" vertical="center" wrapText="1"/>
    </xf>
    <xf numFmtId="0" fontId="4" fillId="9" borderId="2" xfId="0" applyFont="1" applyFill="1" applyBorder="1" applyAlignment="1" applyProtection="1">
      <alignment horizontal="center" vertical="center" wrapText="1"/>
      <protection hidden="1"/>
    </xf>
    <xf numFmtId="0" fontId="5" fillId="0" borderId="0" xfId="0" applyFont="1" applyAlignment="1">
      <alignment vertical="top"/>
    </xf>
    <xf numFmtId="0" fontId="5" fillId="0" borderId="0" xfId="0" applyFont="1" applyAlignment="1">
      <alignment horizontal="left" vertical="top" wrapText="1"/>
    </xf>
    <xf numFmtId="0" fontId="5" fillId="0" borderId="0" xfId="0" applyFont="1" applyAlignment="1">
      <alignment horizontal="left" vertical="center"/>
    </xf>
    <xf numFmtId="0" fontId="5" fillId="0" borderId="0" xfId="0" applyFont="1"/>
    <xf numFmtId="0" fontId="4" fillId="9" borderId="2" xfId="0" applyFont="1" applyFill="1" applyBorder="1" applyAlignment="1">
      <alignment horizontal="center" vertical="center"/>
    </xf>
    <xf numFmtId="0" fontId="14" fillId="9" borderId="17" xfId="0" applyFont="1" applyFill="1" applyBorder="1" applyAlignment="1">
      <alignment horizontal="left" vertical="center"/>
    </xf>
    <xf numFmtId="0" fontId="4" fillId="9" borderId="2" xfId="0" applyFont="1" applyFill="1" applyBorder="1" applyAlignment="1">
      <alignment horizontal="center" vertical="center" wrapText="1"/>
    </xf>
    <xf numFmtId="2" fontId="4" fillId="9" borderId="2" xfId="0" applyNumberFormat="1" applyFont="1" applyFill="1" applyBorder="1" applyAlignment="1">
      <alignment horizontal="center" vertical="center" wrapText="1"/>
    </xf>
    <xf numFmtId="0" fontId="13" fillId="0" borderId="0" xfId="0" applyFont="1" applyAlignment="1">
      <alignment horizontal="center" vertical="center"/>
    </xf>
    <xf numFmtId="2" fontId="4" fillId="9" borderId="2" xfId="0" applyNumberFormat="1" applyFont="1" applyFill="1" applyBorder="1" applyAlignment="1" applyProtection="1">
      <alignment horizontal="center" vertical="center" wrapText="1"/>
      <protection hidden="1"/>
    </xf>
    <xf numFmtId="0" fontId="8" fillId="14" borderId="13" xfId="6" applyFont="1" applyFill="1" applyBorder="1" applyAlignment="1">
      <alignment horizontal="center" vertical="center" wrapText="1"/>
    </xf>
    <xf numFmtId="0" fontId="8" fillId="14" borderId="15" xfId="6" applyFont="1" applyFill="1" applyBorder="1" applyAlignment="1">
      <alignment horizontal="center" vertical="center" wrapText="1"/>
    </xf>
    <xf numFmtId="0" fontId="6" fillId="9" borderId="0" xfId="0" applyFont="1" applyFill="1" applyAlignment="1">
      <alignment horizontal="center" vertical="center" wrapText="1"/>
    </xf>
    <xf numFmtId="0" fontId="14" fillId="9" borderId="2" xfId="0" applyFont="1" applyFill="1" applyBorder="1" applyAlignment="1">
      <alignment horizontal="center" vertical="center" wrapText="1"/>
    </xf>
    <xf numFmtId="0" fontId="14" fillId="9" borderId="3" xfId="0" applyFont="1" applyFill="1" applyBorder="1" applyAlignment="1">
      <alignment horizontal="left" vertical="center"/>
    </xf>
    <xf numFmtId="0" fontId="14" fillId="9" borderId="4" xfId="0" applyFont="1" applyFill="1" applyBorder="1" applyAlignment="1">
      <alignment horizontal="left" vertical="center"/>
    </xf>
    <xf numFmtId="0" fontId="14" fillId="9" borderId="5" xfId="0" applyFont="1" applyFill="1" applyBorder="1" applyAlignment="1">
      <alignment horizontal="left" vertical="center"/>
    </xf>
    <xf numFmtId="0" fontId="10" fillId="9" borderId="2" xfId="0" applyFont="1" applyFill="1" applyBorder="1" applyAlignment="1">
      <alignment horizontal="center" vertical="center" wrapText="1"/>
    </xf>
    <xf numFmtId="0" fontId="10" fillId="9" borderId="2" xfId="0" applyFont="1" applyFill="1" applyBorder="1" applyAlignment="1" applyProtection="1">
      <alignment horizontal="center" vertical="center" wrapText="1"/>
      <protection hidden="1"/>
    </xf>
    <xf numFmtId="2" fontId="10" fillId="9" borderId="2" xfId="0" applyNumberFormat="1" applyFont="1" applyFill="1" applyBorder="1" applyAlignment="1">
      <alignment horizontal="center" vertical="center" wrapText="1"/>
    </xf>
    <xf numFmtId="2" fontId="10" fillId="9" borderId="2" xfId="0" applyNumberFormat="1" applyFont="1" applyFill="1" applyBorder="1" applyAlignment="1" applyProtection="1">
      <alignment horizontal="center" vertical="center" wrapText="1"/>
      <protection hidden="1"/>
    </xf>
    <xf numFmtId="0" fontId="10" fillId="9" borderId="7" xfId="0" applyFont="1" applyFill="1" applyBorder="1" applyAlignment="1" applyProtection="1">
      <alignment horizontal="center" vertical="center" wrapText="1"/>
      <protection hidden="1"/>
    </xf>
    <xf numFmtId="0" fontId="10" fillId="9" borderId="2" xfId="0" applyFont="1" applyFill="1" applyBorder="1" applyAlignment="1">
      <alignment horizontal="center" vertical="center"/>
    </xf>
    <xf numFmtId="0" fontId="13" fillId="0" borderId="0" xfId="0" applyFont="1" applyAlignment="1">
      <alignment horizontal="center"/>
    </xf>
    <xf numFmtId="0" fontId="14" fillId="9" borderId="3" xfId="0" applyFont="1" applyFill="1" applyBorder="1" applyAlignment="1">
      <alignment horizontal="left" vertical="top"/>
    </xf>
    <xf numFmtId="0" fontId="14" fillId="9" borderId="4" xfId="0" applyFont="1" applyFill="1" applyBorder="1" applyAlignment="1">
      <alignment horizontal="left" vertical="top"/>
    </xf>
    <xf numFmtId="0" fontId="14" fillId="9" borderId="5" xfId="0" applyFont="1" applyFill="1" applyBorder="1" applyAlignment="1">
      <alignment horizontal="left" vertical="top"/>
    </xf>
    <xf numFmtId="0" fontId="25" fillId="0" borderId="0" xfId="0" applyFont="1" applyAlignment="1">
      <alignment horizontal="center" vertical="center"/>
    </xf>
    <xf numFmtId="0" fontId="6" fillId="9" borderId="3" xfId="0" applyFont="1" applyFill="1" applyBorder="1" applyAlignment="1">
      <alignment horizontal="left" vertical="center"/>
    </xf>
    <xf numFmtId="0" fontId="6" fillId="9" borderId="4" xfId="0" applyFont="1" applyFill="1" applyBorder="1" applyAlignment="1">
      <alignment horizontal="left" vertical="center"/>
    </xf>
    <xf numFmtId="0" fontId="6" fillId="9" borderId="5" xfId="0" applyFont="1" applyFill="1" applyBorder="1" applyAlignment="1">
      <alignment horizontal="left" vertical="center"/>
    </xf>
    <xf numFmtId="0" fontId="27" fillId="0" borderId="0" xfId="0" applyFont="1" applyAlignment="1">
      <alignment horizontal="left" vertical="center"/>
    </xf>
    <xf numFmtId="0" fontId="6" fillId="9" borderId="9" xfId="0" applyFont="1" applyFill="1" applyBorder="1" applyAlignment="1">
      <alignment horizontal="left" vertical="center"/>
    </xf>
    <xf numFmtId="0" fontId="6" fillId="9" borderId="0" xfId="0" applyFont="1" applyFill="1" applyBorder="1" applyAlignment="1">
      <alignment horizontal="left" vertical="center"/>
    </xf>
  </cellXfs>
  <cellStyles count="8">
    <cellStyle name="60% - Accent4" xfId="5" builtinId="44"/>
    <cellStyle name="Accent1" xfId="2" builtinId="29"/>
    <cellStyle name="Accent2" xfId="3" builtinId="33"/>
    <cellStyle name="Accent4" xfId="4" builtinId="41"/>
    <cellStyle name="Accent6" xfId="6" builtinId="49"/>
    <cellStyle name="Normal" xfId="0" builtinId="0"/>
    <cellStyle name="Normal 2" xfId="7"/>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B1:N26"/>
  <sheetViews>
    <sheetView showGridLines="0" tabSelected="1" zoomScale="70" zoomScaleNormal="70" workbookViewId="0">
      <selection activeCell="B2" sqref="B2:L2"/>
    </sheetView>
  </sheetViews>
  <sheetFormatPr defaultColWidth="9.140625" defaultRowHeight="15.75" x14ac:dyDescent="0.25"/>
  <cols>
    <col min="1" max="1" width="7.140625" style="18" customWidth="1"/>
    <col min="2" max="2" width="7" style="18" customWidth="1"/>
    <col min="3" max="3" width="9.42578125" style="18" customWidth="1"/>
    <col min="4" max="4" width="10.85546875" style="56" customWidth="1"/>
    <col min="5" max="5" width="53.28515625" style="56" customWidth="1"/>
    <col min="6" max="6" width="24.140625" style="56" customWidth="1"/>
    <col min="7" max="7" width="17.28515625" style="56" customWidth="1"/>
    <col min="8" max="11" width="15.85546875" style="56" customWidth="1"/>
    <col min="12" max="12" width="9.42578125" style="18" customWidth="1"/>
    <col min="13" max="13" width="8" style="18" customWidth="1"/>
    <col min="14" max="14" width="13" style="18" bestFit="1" customWidth="1"/>
    <col min="15" max="16384" width="9.140625" style="18"/>
  </cols>
  <sheetData>
    <row r="1" spans="2:14" ht="29.25" customHeight="1" x14ac:dyDescent="0.25"/>
    <row r="2" spans="2:14" ht="46.5" customHeight="1" x14ac:dyDescent="0.25">
      <c r="B2" s="336" t="s">
        <v>8</v>
      </c>
      <c r="C2" s="337"/>
      <c r="D2" s="337"/>
      <c r="E2" s="337"/>
      <c r="F2" s="337"/>
      <c r="G2" s="337"/>
      <c r="H2" s="337"/>
      <c r="I2" s="337"/>
      <c r="J2" s="337"/>
      <c r="K2" s="337"/>
      <c r="L2" s="338"/>
    </row>
    <row r="3" spans="2:14" s="57" customFormat="1" ht="42" customHeight="1" x14ac:dyDescent="0.3">
      <c r="D3" s="58"/>
      <c r="E3" s="58"/>
      <c r="F3" s="58"/>
      <c r="G3" s="58"/>
      <c r="H3" s="58"/>
      <c r="I3" s="58"/>
      <c r="J3" s="58"/>
      <c r="K3" s="58"/>
    </row>
    <row r="4" spans="2:14" s="59" customFormat="1" ht="42.75" customHeight="1" x14ac:dyDescent="0.25">
      <c r="C4" s="60">
        <v>1</v>
      </c>
      <c r="D4" s="340" t="s">
        <v>143</v>
      </c>
      <c r="E4" s="340"/>
      <c r="F4" s="353" t="s">
        <v>214</v>
      </c>
      <c r="G4" s="353"/>
      <c r="H4" s="353"/>
      <c r="I4" s="353"/>
      <c r="J4" s="353"/>
      <c r="K4" s="353"/>
    </row>
    <row r="5" spans="2:14" s="59" customFormat="1" ht="36" customHeight="1" x14ac:dyDescent="0.25">
      <c r="C5" s="60">
        <v>2</v>
      </c>
      <c r="D5" s="340" t="s">
        <v>144</v>
      </c>
      <c r="E5" s="340"/>
      <c r="F5" s="340"/>
      <c r="G5" s="346" t="s">
        <v>215</v>
      </c>
      <c r="H5" s="346"/>
      <c r="I5" s="346"/>
      <c r="J5" s="346"/>
      <c r="K5" s="346"/>
    </row>
    <row r="6" spans="2:14" s="59" customFormat="1" ht="36" customHeight="1" x14ac:dyDescent="0.25">
      <c r="C6" s="60">
        <v>3</v>
      </c>
      <c r="D6" s="340" t="s">
        <v>217</v>
      </c>
      <c r="E6" s="340"/>
      <c r="F6" s="340"/>
      <c r="G6" s="340"/>
      <c r="H6" s="340"/>
      <c r="I6" s="347" t="s">
        <v>216</v>
      </c>
      <c r="J6" s="347"/>
      <c r="K6" s="347"/>
      <c r="N6" s="61"/>
    </row>
    <row r="7" spans="2:14" s="59" customFormat="1" ht="21" customHeight="1" x14ac:dyDescent="0.25">
      <c r="C7" s="60"/>
      <c r="D7" s="344" t="s">
        <v>157</v>
      </c>
      <c r="E7" s="344"/>
      <c r="F7" s="344"/>
      <c r="G7" s="344"/>
      <c r="H7" s="344"/>
      <c r="I7" s="348">
        <v>46295</v>
      </c>
      <c r="J7" s="348"/>
      <c r="K7" s="348"/>
    </row>
    <row r="8" spans="2:14" s="59" customFormat="1" ht="21" customHeight="1" x14ac:dyDescent="0.25">
      <c r="C8" s="62"/>
      <c r="D8" s="345" t="s">
        <v>158</v>
      </c>
      <c r="E8" s="345"/>
      <c r="F8" s="345"/>
      <c r="G8" s="345"/>
      <c r="H8" s="345"/>
      <c r="I8" s="349"/>
      <c r="J8" s="349"/>
      <c r="K8" s="349"/>
    </row>
    <row r="9" spans="2:14" s="59" customFormat="1" ht="36" customHeight="1" x14ac:dyDescent="0.25">
      <c r="C9" s="63">
        <v>4</v>
      </c>
      <c r="D9" s="340" t="s">
        <v>0</v>
      </c>
      <c r="E9" s="340"/>
      <c r="F9" s="340"/>
      <c r="G9" s="340"/>
      <c r="H9" s="340"/>
      <c r="I9" s="340"/>
      <c r="J9" s="340"/>
      <c r="K9" s="340"/>
    </row>
    <row r="10" spans="2:14" s="339" customFormat="1" ht="13.5" customHeight="1" x14ac:dyDescent="0.25"/>
    <row r="11" spans="2:14" ht="66.75" customHeight="1" x14ac:dyDescent="0.25">
      <c r="C11" s="64"/>
      <c r="D11" s="65" t="s">
        <v>1</v>
      </c>
      <c r="E11" s="354" t="s">
        <v>2</v>
      </c>
      <c r="F11" s="354"/>
      <c r="G11" s="354"/>
      <c r="H11" s="65" t="s">
        <v>195</v>
      </c>
      <c r="I11" s="66" t="s">
        <v>169</v>
      </c>
      <c r="J11" s="66" t="s">
        <v>170</v>
      </c>
      <c r="K11" s="66" t="s">
        <v>171</v>
      </c>
    </row>
    <row r="12" spans="2:14" ht="26.25" customHeight="1" x14ac:dyDescent="0.25">
      <c r="C12" s="64"/>
      <c r="D12" s="67">
        <v>1</v>
      </c>
      <c r="E12" s="351" t="s">
        <v>4</v>
      </c>
      <c r="F12" s="351"/>
      <c r="G12" s="351"/>
      <c r="H12" s="68" t="s">
        <v>3</v>
      </c>
      <c r="I12" s="68" t="str">
        <f>IF('Table I'!$F$7&lt;1,"-","Yes")</f>
        <v>-</v>
      </c>
      <c r="J12" s="68" t="str">
        <f>IF('Table I'!$F$8&lt;1,"-","Yes")</f>
        <v>-</v>
      </c>
      <c r="K12" s="69" t="s">
        <v>5</v>
      </c>
    </row>
    <row r="13" spans="2:14" ht="26.25" customHeight="1" x14ac:dyDescent="0.25">
      <c r="C13" s="64"/>
      <c r="D13" s="67">
        <v>2</v>
      </c>
      <c r="E13" s="352" t="s">
        <v>161</v>
      </c>
      <c r="F13" s="352"/>
      <c r="G13" s="352"/>
      <c r="H13" s="70" t="str">
        <f>IF('Table I'!$N$12&lt;1,"No","Yes")</f>
        <v>No</v>
      </c>
      <c r="I13" s="70" t="str">
        <f>IF('Table I'!$N$7&lt;1,"-","Yes")</f>
        <v>-</v>
      </c>
      <c r="J13" s="70" t="str">
        <f>IF('Table I'!$N$8&lt;1,"-","Yes")</f>
        <v>-</v>
      </c>
      <c r="K13" s="69" t="s">
        <v>5</v>
      </c>
    </row>
    <row r="14" spans="2:14" ht="26.25" customHeight="1" x14ac:dyDescent="0.25">
      <c r="C14" s="64"/>
      <c r="D14" s="67">
        <v>3</v>
      </c>
      <c r="E14" s="351" t="s">
        <v>162</v>
      </c>
      <c r="F14" s="351"/>
      <c r="G14" s="351"/>
      <c r="H14" s="68" t="str">
        <f>IF('Table I'!$O$12&lt;1,"No","Yes")</f>
        <v>No</v>
      </c>
      <c r="I14" s="68" t="str">
        <f>IF('Table I'!$O$7&lt;1,"-","Yes")</f>
        <v>-</v>
      </c>
      <c r="J14" s="68" t="str">
        <f>IF('Table I'!$O$8&lt;1,"-","Yes")</f>
        <v>-</v>
      </c>
      <c r="K14" s="69" t="s">
        <v>5</v>
      </c>
    </row>
    <row r="15" spans="2:14" ht="26.25" customHeight="1" x14ac:dyDescent="0.25">
      <c r="C15" s="64"/>
      <c r="D15" s="67">
        <v>4</v>
      </c>
      <c r="E15" s="352" t="s">
        <v>163</v>
      </c>
      <c r="F15" s="352"/>
      <c r="G15" s="352"/>
      <c r="H15" s="70" t="str">
        <f>IF('Table I'!$P$12&lt;1,"No","Yes")</f>
        <v>No</v>
      </c>
      <c r="I15" s="70" t="str">
        <f>IF('Table I'!$P$7&lt;1,"-","Yes")</f>
        <v>-</v>
      </c>
      <c r="J15" s="70" t="str">
        <f>IF('Table I'!$P$8&lt;1,"-","Yes")</f>
        <v>-</v>
      </c>
      <c r="K15" s="68" t="s">
        <v>5</v>
      </c>
    </row>
    <row r="16" spans="2:14" ht="33" customHeight="1" x14ac:dyDescent="0.25">
      <c r="C16" s="64"/>
      <c r="D16" s="67">
        <v>5</v>
      </c>
      <c r="E16" s="351" t="s">
        <v>164</v>
      </c>
      <c r="F16" s="351"/>
      <c r="G16" s="351"/>
      <c r="H16" s="68" t="s">
        <v>3</v>
      </c>
      <c r="I16" s="68" t="s">
        <v>5</v>
      </c>
      <c r="J16" s="68" t="s">
        <v>5</v>
      </c>
      <c r="K16" s="69" t="s">
        <v>5</v>
      </c>
    </row>
    <row r="17" spans="3:13" ht="26.25" customHeight="1" x14ac:dyDescent="0.25">
      <c r="C17" s="64"/>
      <c r="D17" s="67">
        <v>6</v>
      </c>
      <c r="E17" s="351" t="s">
        <v>6</v>
      </c>
      <c r="F17" s="351"/>
      <c r="G17" s="351"/>
      <c r="H17" s="68" t="str">
        <f>IF('Table I'!$T$12&lt;1,"No","Yes")</f>
        <v>No</v>
      </c>
      <c r="I17" s="68" t="str">
        <f>IF('Table I'!$T$7&lt;1,"-","Yes")</f>
        <v>-</v>
      </c>
      <c r="J17" s="68" t="str">
        <f>IF('Table I'!$T$8&lt;1,"-","Yes")</f>
        <v>-</v>
      </c>
      <c r="K17" s="69" t="s">
        <v>5</v>
      </c>
    </row>
    <row r="18" spans="3:13" ht="26.25" customHeight="1" x14ac:dyDescent="0.25">
      <c r="C18" s="64"/>
      <c r="D18" s="67">
        <v>7</v>
      </c>
      <c r="E18" s="351" t="s">
        <v>165</v>
      </c>
      <c r="F18" s="351"/>
      <c r="G18" s="351"/>
      <c r="H18" s="71" t="str">
        <f>IF('Table I'!$V$7&lt;1,"No","Yes")</f>
        <v>No</v>
      </c>
      <c r="I18" s="71" t="str">
        <f>IF('Table I'!$V$7&lt;1,"-","Yes")</f>
        <v>-</v>
      </c>
      <c r="J18" s="350"/>
      <c r="K18" s="350"/>
    </row>
    <row r="19" spans="3:13" ht="34.5" customHeight="1" x14ac:dyDescent="0.25">
      <c r="C19" s="64"/>
      <c r="D19" s="67">
        <v>8</v>
      </c>
      <c r="E19" s="351" t="s">
        <v>166</v>
      </c>
      <c r="F19" s="351"/>
      <c r="G19" s="351"/>
      <c r="H19" s="71" t="s">
        <v>3</v>
      </c>
      <c r="I19" s="71" t="s">
        <v>5</v>
      </c>
      <c r="J19" s="350"/>
      <c r="K19" s="350"/>
    </row>
    <row r="20" spans="3:13" ht="34.5" customHeight="1" x14ac:dyDescent="0.25">
      <c r="C20" s="64"/>
      <c r="D20" s="67">
        <v>9</v>
      </c>
      <c r="E20" s="351" t="s">
        <v>167</v>
      </c>
      <c r="F20" s="351"/>
      <c r="G20" s="351"/>
      <c r="H20" s="71" t="s">
        <v>3</v>
      </c>
      <c r="I20" s="71" t="s">
        <v>5</v>
      </c>
      <c r="J20" s="350"/>
      <c r="K20" s="350"/>
    </row>
    <row r="21" spans="3:13" ht="26.25" customHeight="1" x14ac:dyDescent="0.25">
      <c r="C21" s="64"/>
      <c r="D21" s="67">
        <v>10</v>
      </c>
      <c r="E21" s="351" t="s">
        <v>149</v>
      </c>
      <c r="F21" s="351"/>
      <c r="G21" s="351"/>
      <c r="H21" s="71" t="s">
        <v>3</v>
      </c>
      <c r="I21" s="71" t="s">
        <v>5</v>
      </c>
      <c r="J21" s="71" t="s">
        <v>5</v>
      </c>
      <c r="K21" s="72" t="s">
        <v>5</v>
      </c>
    </row>
    <row r="22" spans="3:13" ht="26.25" customHeight="1" x14ac:dyDescent="0.25">
      <c r="C22" s="64"/>
      <c r="D22" s="67">
        <v>11</v>
      </c>
      <c r="E22" s="351" t="s">
        <v>168</v>
      </c>
      <c r="F22" s="351"/>
      <c r="G22" s="351"/>
      <c r="H22" s="71" t="s">
        <v>3</v>
      </c>
      <c r="I22" s="350"/>
      <c r="J22" s="350"/>
      <c r="K22" s="350"/>
    </row>
    <row r="23" spans="3:13" ht="15.75" customHeight="1" x14ac:dyDescent="0.25">
      <c r="C23" s="341" t="s">
        <v>7</v>
      </c>
      <c r="D23" s="342"/>
      <c r="E23" s="342"/>
      <c r="F23" s="342"/>
      <c r="G23" s="342"/>
      <c r="H23" s="342"/>
      <c r="I23" s="342"/>
      <c r="J23" s="342"/>
      <c r="K23" s="342"/>
      <c r="L23" s="341"/>
      <c r="M23" s="343"/>
    </row>
    <row r="24" spans="3:13" ht="61.5" customHeight="1" x14ac:dyDescent="0.25">
      <c r="C24" s="341"/>
      <c r="D24" s="341"/>
      <c r="E24" s="341"/>
      <c r="F24" s="341"/>
      <c r="G24" s="341"/>
      <c r="H24" s="341"/>
      <c r="I24" s="341"/>
      <c r="J24" s="341"/>
      <c r="K24" s="341"/>
      <c r="L24" s="341"/>
      <c r="M24" s="343"/>
    </row>
    <row r="25" spans="3:13" ht="15.75" customHeight="1" x14ac:dyDescent="0.25">
      <c r="C25" s="341"/>
      <c r="D25" s="341"/>
      <c r="E25" s="341"/>
      <c r="F25" s="341"/>
      <c r="G25" s="341"/>
      <c r="H25" s="341"/>
      <c r="I25" s="341"/>
      <c r="J25" s="341"/>
      <c r="K25" s="341"/>
      <c r="L25" s="341"/>
      <c r="M25" s="343"/>
    </row>
    <row r="26" spans="3:13" ht="15.75" customHeight="1" x14ac:dyDescent="0.25">
      <c r="C26" s="341"/>
      <c r="D26" s="341"/>
      <c r="E26" s="341"/>
      <c r="F26" s="341"/>
      <c r="G26" s="341"/>
      <c r="H26" s="341"/>
      <c r="I26" s="341"/>
      <c r="J26" s="341"/>
      <c r="K26" s="341"/>
      <c r="L26" s="341"/>
      <c r="M26" s="343"/>
    </row>
  </sheetData>
  <mergeCells count="28">
    <mergeCell ref="E15:G15"/>
    <mergeCell ref="J18:K20"/>
    <mergeCell ref="F4:K4"/>
    <mergeCell ref="E11:G11"/>
    <mergeCell ref="E12:G12"/>
    <mergeCell ref="E13:G13"/>
    <mergeCell ref="E14:G14"/>
    <mergeCell ref="E21:G21"/>
    <mergeCell ref="E20:G20"/>
    <mergeCell ref="E19:G19"/>
    <mergeCell ref="E22:G22"/>
    <mergeCell ref="E17:G17"/>
    <mergeCell ref="B2:L2"/>
    <mergeCell ref="A10:XFD10"/>
    <mergeCell ref="D9:K9"/>
    <mergeCell ref="C23:L26"/>
    <mergeCell ref="M23:M26"/>
    <mergeCell ref="D4:E4"/>
    <mergeCell ref="D5:F5"/>
    <mergeCell ref="D6:H6"/>
    <mergeCell ref="D7:H7"/>
    <mergeCell ref="D8:H8"/>
    <mergeCell ref="G5:K5"/>
    <mergeCell ref="I6:K6"/>
    <mergeCell ref="I7:K8"/>
    <mergeCell ref="I22:K22"/>
    <mergeCell ref="E16:G16"/>
    <mergeCell ref="E18:G18"/>
  </mergeCells>
  <dataValidations count="1">
    <dataValidation type="list" allowBlank="1" showInputMessage="1" showErrorMessage="1" sqref="H12:H22">
      <formula1>"Yes,No"</formula1>
    </dataValidation>
  </dataValidations>
  <pageMargins left="7.874015748031496E-2" right="7.874015748031496E-2" top="7.874015748031496E-2" bottom="7.874015748031496E-2" header="0.31496062992125984" footer="0.31496062992125984"/>
  <pageSetup scale="6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B1:AG13"/>
  <sheetViews>
    <sheetView showGridLines="0" zoomScale="80" zoomScaleNormal="80" workbookViewId="0">
      <selection activeCell="B1" sqref="B1:AG1"/>
    </sheetView>
  </sheetViews>
  <sheetFormatPr defaultColWidth="9.140625" defaultRowHeight="15.75" x14ac:dyDescent="0.25"/>
  <cols>
    <col min="1" max="1" width="1.28515625" style="49" customWidth="1"/>
    <col min="2" max="2" width="11.42578125" style="49" customWidth="1"/>
    <col min="3" max="3" width="33.42578125" style="49" customWidth="1"/>
    <col min="4" max="4" width="13.85546875" style="49" customWidth="1"/>
    <col min="5" max="5" width="15" style="49" customWidth="1"/>
    <col min="6" max="6" width="13.140625" style="49" customWidth="1"/>
    <col min="7" max="7" width="13.7109375" style="49" customWidth="1"/>
    <col min="8" max="8" width="16" style="49" customWidth="1"/>
    <col min="9" max="9" width="14.42578125" style="49" customWidth="1"/>
    <col min="10" max="12" width="13.7109375" style="49" customWidth="1"/>
    <col min="13" max="13" width="9.85546875" style="53" customWidth="1"/>
    <col min="14" max="16" width="15.42578125" style="49" customWidth="1"/>
    <col min="17" max="17" width="17.42578125" style="49" customWidth="1"/>
    <col min="18" max="18" width="17.28515625" style="49" customWidth="1"/>
    <col min="19" max="19" width="22" style="53" customWidth="1"/>
    <col min="20" max="20" width="14.28515625" style="49" customWidth="1"/>
    <col min="21" max="21" width="11.28515625" style="49" customWidth="1"/>
    <col min="22" max="22" width="16.42578125" style="49" customWidth="1"/>
    <col min="23" max="23" width="9.28515625" style="49" customWidth="1"/>
    <col min="24" max="24" width="16.42578125" style="49" customWidth="1"/>
    <col min="25" max="25" width="9.28515625" style="49" customWidth="1"/>
    <col min="26" max="26" width="16.42578125" style="49" customWidth="1"/>
    <col min="27" max="27" width="9.28515625" style="49" customWidth="1"/>
    <col min="28" max="28" width="16.42578125" style="49" customWidth="1"/>
    <col min="29" max="29" width="9.28515625" style="49" customWidth="1"/>
    <col min="30" max="30" width="17.28515625" style="204" customWidth="1"/>
    <col min="31" max="33" width="14.42578125" style="49" customWidth="1"/>
    <col min="34" max="16384" width="9.140625" style="49"/>
  </cols>
  <sheetData>
    <row r="1" spans="2:33" s="188" customFormat="1" ht="37.5" customHeight="1" x14ac:dyDescent="0.35">
      <c r="B1" s="355" t="s">
        <v>9</v>
      </c>
      <c r="C1" s="356"/>
      <c r="D1" s="356"/>
      <c r="E1" s="356"/>
      <c r="F1" s="356"/>
      <c r="G1" s="356"/>
      <c r="H1" s="356"/>
      <c r="I1" s="356"/>
      <c r="J1" s="356"/>
      <c r="K1" s="356"/>
      <c r="L1" s="356"/>
      <c r="M1" s="356"/>
      <c r="N1" s="356"/>
      <c r="O1" s="356"/>
      <c r="P1" s="356"/>
      <c r="Q1" s="356"/>
      <c r="R1" s="356"/>
      <c r="S1" s="356"/>
      <c r="T1" s="356"/>
      <c r="U1" s="356"/>
      <c r="V1" s="356"/>
      <c r="W1" s="356"/>
      <c r="X1" s="356"/>
      <c r="Y1" s="356"/>
      <c r="Z1" s="356"/>
      <c r="AA1" s="356"/>
      <c r="AB1" s="356"/>
      <c r="AC1" s="356"/>
      <c r="AD1" s="356"/>
      <c r="AE1" s="356"/>
      <c r="AF1" s="356"/>
      <c r="AG1" s="357"/>
    </row>
    <row r="2" spans="2:33" x14ac:dyDescent="0.25">
      <c r="B2" s="50"/>
      <c r="C2" s="50"/>
      <c r="D2" s="50"/>
      <c r="E2" s="50"/>
      <c r="F2" s="50"/>
      <c r="G2" s="50"/>
      <c r="H2" s="50"/>
      <c r="I2" s="50"/>
      <c r="J2" s="50"/>
      <c r="K2" s="50"/>
      <c r="L2" s="50"/>
      <c r="M2" s="50"/>
      <c r="N2" s="50"/>
      <c r="O2" s="50"/>
      <c r="P2" s="50"/>
      <c r="Q2" s="50"/>
      <c r="R2" s="50"/>
      <c r="S2" s="51"/>
      <c r="T2" s="50"/>
      <c r="U2" s="50"/>
      <c r="V2" s="50"/>
      <c r="W2" s="50"/>
      <c r="X2" s="50"/>
      <c r="Y2" s="50"/>
      <c r="Z2" s="50"/>
      <c r="AA2" s="50"/>
      <c r="AB2" s="50"/>
      <c r="AC2" s="50"/>
      <c r="AD2" s="198"/>
      <c r="AE2" s="50"/>
      <c r="AF2" s="50"/>
      <c r="AG2" s="50"/>
    </row>
    <row r="3" spans="2:33" s="55" customFormat="1" ht="50.25" customHeight="1" x14ac:dyDescent="0.25">
      <c r="B3" s="358" t="s">
        <v>10</v>
      </c>
      <c r="C3" s="358" t="s">
        <v>11</v>
      </c>
      <c r="D3" s="358" t="s">
        <v>41</v>
      </c>
      <c r="E3" s="358" t="s">
        <v>12</v>
      </c>
      <c r="F3" s="358" t="s">
        <v>13</v>
      </c>
      <c r="G3" s="358" t="s">
        <v>40</v>
      </c>
      <c r="H3" s="358" t="s">
        <v>14</v>
      </c>
      <c r="I3" s="358" t="s">
        <v>15</v>
      </c>
      <c r="J3" s="358" t="s">
        <v>16</v>
      </c>
      <c r="K3" s="358"/>
      <c r="L3" s="358"/>
      <c r="M3" s="358"/>
      <c r="N3" s="358" t="s">
        <v>172</v>
      </c>
      <c r="O3" s="358" t="s">
        <v>174</v>
      </c>
      <c r="P3" s="358" t="s">
        <v>176</v>
      </c>
      <c r="Q3" s="358" t="s">
        <v>178</v>
      </c>
      <c r="R3" s="358" t="s">
        <v>180</v>
      </c>
      <c r="S3" s="361" t="s">
        <v>182</v>
      </c>
      <c r="T3" s="358" t="s">
        <v>120</v>
      </c>
      <c r="U3" s="358"/>
      <c r="V3" s="358" t="s">
        <v>185</v>
      </c>
      <c r="W3" s="358"/>
      <c r="X3" s="358" t="s">
        <v>186</v>
      </c>
      <c r="Y3" s="358"/>
      <c r="Z3" s="358" t="s">
        <v>188</v>
      </c>
      <c r="AA3" s="358"/>
      <c r="AB3" s="358" t="s">
        <v>191</v>
      </c>
      <c r="AC3" s="358"/>
      <c r="AD3" s="360" t="s">
        <v>192</v>
      </c>
      <c r="AE3" s="358" t="s">
        <v>194</v>
      </c>
      <c r="AF3" s="358"/>
      <c r="AG3" s="358"/>
    </row>
    <row r="4" spans="2:33" s="55" customFormat="1" ht="36" customHeight="1" x14ac:dyDescent="0.25">
      <c r="B4" s="358"/>
      <c r="C4" s="358"/>
      <c r="D4" s="358"/>
      <c r="E4" s="358"/>
      <c r="F4" s="358"/>
      <c r="G4" s="358"/>
      <c r="H4" s="358"/>
      <c r="I4" s="358"/>
      <c r="J4" s="358" t="s">
        <v>19</v>
      </c>
      <c r="K4" s="358"/>
      <c r="L4" s="358"/>
      <c r="M4" s="361" t="s">
        <v>145</v>
      </c>
      <c r="N4" s="358"/>
      <c r="O4" s="358"/>
      <c r="P4" s="358"/>
      <c r="Q4" s="358"/>
      <c r="R4" s="358"/>
      <c r="S4" s="361"/>
      <c r="T4" s="358" t="s">
        <v>20</v>
      </c>
      <c r="U4" s="358" t="s">
        <v>21</v>
      </c>
      <c r="V4" s="358" t="s">
        <v>20</v>
      </c>
      <c r="W4" s="358" t="s">
        <v>21</v>
      </c>
      <c r="X4" s="358" t="s">
        <v>20</v>
      </c>
      <c r="Y4" s="358" t="s">
        <v>21</v>
      </c>
      <c r="Z4" s="358" t="s">
        <v>20</v>
      </c>
      <c r="AA4" s="358" t="s">
        <v>21</v>
      </c>
      <c r="AB4" s="358" t="s">
        <v>20</v>
      </c>
      <c r="AC4" s="358" t="s">
        <v>21</v>
      </c>
      <c r="AD4" s="360"/>
      <c r="AE4" s="358" t="s">
        <v>69</v>
      </c>
      <c r="AF4" s="358"/>
      <c r="AG4" s="358"/>
    </row>
    <row r="5" spans="2:33" s="55" customFormat="1" ht="57.75" customHeight="1" x14ac:dyDescent="0.25">
      <c r="B5" s="358"/>
      <c r="C5" s="358"/>
      <c r="D5" s="358"/>
      <c r="E5" s="358"/>
      <c r="F5" s="358"/>
      <c r="G5" s="358"/>
      <c r="H5" s="358"/>
      <c r="I5" s="358"/>
      <c r="J5" s="7" t="s">
        <v>147</v>
      </c>
      <c r="K5" s="7" t="s">
        <v>146</v>
      </c>
      <c r="L5" s="7" t="s">
        <v>22</v>
      </c>
      <c r="M5" s="361"/>
      <c r="N5" s="358"/>
      <c r="O5" s="358"/>
      <c r="P5" s="358"/>
      <c r="Q5" s="358"/>
      <c r="R5" s="358"/>
      <c r="S5" s="361"/>
      <c r="T5" s="358"/>
      <c r="U5" s="358"/>
      <c r="V5" s="358"/>
      <c r="W5" s="358"/>
      <c r="X5" s="358"/>
      <c r="Y5" s="358"/>
      <c r="Z5" s="358"/>
      <c r="AA5" s="358"/>
      <c r="AB5" s="358"/>
      <c r="AC5" s="358"/>
      <c r="AD5" s="360"/>
      <c r="AE5" s="358" t="s">
        <v>70</v>
      </c>
      <c r="AF5" s="358" t="s">
        <v>71</v>
      </c>
      <c r="AG5" s="358" t="s">
        <v>72</v>
      </c>
    </row>
    <row r="6" spans="2:33" s="55" customFormat="1" ht="45.75" customHeight="1" x14ac:dyDescent="0.25">
      <c r="B6" s="7" t="s">
        <v>23</v>
      </c>
      <c r="C6" s="7" t="s">
        <v>24</v>
      </c>
      <c r="D6" s="7" t="s">
        <v>25</v>
      </c>
      <c r="E6" s="7" t="s">
        <v>26</v>
      </c>
      <c r="F6" s="7" t="s">
        <v>27</v>
      </c>
      <c r="G6" s="7" t="s">
        <v>28</v>
      </c>
      <c r="H6" s="7" t="s">
        <v>29</v>
      </c>
      <c r="I6" s="7" t="s">
        <v>30</v>
      </c>
      <c r="J6" s="358" t="s">
        <v>31</v>
      </c>
      <c r="K6" s="358"/>
      <c r="L6" s="358"/>
      <c r="M6" s="358"/>
      <c r="N6" s="7" t="s">
        <v>173</v>
      </c>
      <c r="O6" s="7" t="s">
        <v>175</v>
      </c>
      <c r="P6" s="7" t="s">
        <v>177</v>
      </c>
      <c r="Q6" s="7" t="s">
        <v>179</v>
      </c>
      <c r="R6" s="7" t="s">
        <v>181</v>
      </c>
      <c r="S6" s="8" t="s">
        <v>183</v>
      </c>
      <c r="T6" s="358" t="s">
        <v>121</v>
      </c>
      <c r="U6" s="358"/>
      <c r="V6" s="358" t="s">
        <v>32</v>
      </c>
      <c r="W6" s="358"/>
      <c r="X6" s="358" t="s">
        <v>187</v>
      </c>
      <c r="Y6" s="358"/>
      <c r="Z6" s="358" t="s">
        <v>189</v>
      </c>
      <c r="AA6" s="358"/>
      <c r="AB6" s="358" t="s">
        <v>190</v>
      </c>
      <c r="AC6" s="358"/>
      <c r="AD6" s="199" t="s">
        <v>193</v>
      </c>
      <c r="AE6" s="359"/>
      <c r="AF6" s="359"/>
      <c r="AG6" s="359"/>
    </row>
    <row r="7" spans="2:33" s="78" customFormat="1" ht="25.5" customHeight="1" x14ac:dyDescent="0.25">
      <c r="B7" s="79" t="s">
        <v>37</v>
      </c>
      <c r="C7" s="80" t="s">
        <v>42</v>
      </c>
      <c r="D7" s="303">
        <f>'Table II'!$E$36</f>
        <v>0</v>
      </c>
      <c r="E7" s="304">
        <f>'Table II'!$F$36</f>
        <v>0</v>
      </c>
      <c r="F7" s="81">
        <v>0</v>
      </c>
      <c r="G7" s="81">
        <v>0</v>
      </c>
      <c r="H7" s="81">
        <f>$G$7+$F$7+$E$7</f>
        <v>0</v>
      </c>
      <c r="I7" s="82">
        <f>IFERROR($H$7/$H$12*100,0)</f>
        <v>0</v>
      </c>
      <c r="J7" s="81">
        <f>$H$7</f>
        <v>0</v>
      </c>
      <c r="K7" s="81">
        <v>0</v>
      </c>
      <c r="L7" s="81">
        <f>$J$7+$K$7</f>
        <v>0</v>
      </c>
      <c r="M7" s="82">
        <f>IFERROR(($L$7/$E$12*100),0)</f>
        <v>0</v>
      </c>
      <c r="N7" s="81">
        <f>'Table II'!$O$36</f>
        <v>0</v>
      </c>
      <c r="O7" s="81">
        <f>'Table II'!$P$36</f>
        <v>0</v>
      </c>
      <c r="P7" s="81">
        <f>'Table II'!$Q$36</f>
        <v>0</v>
      </c>
      <c r="Q7" s="81">
        <f>$N$7+$O$7+$P$7</f>
        <v>0</v>
      </c>
      <c r="R7" s="81">
        <f>$Q$7+$H$7</f>
        <v>0</v>
      </c>
      <c r="S7" s="82">
        <f>IFERROR(($R$7/$R$12*100),0)</f>
        <v>0</v>
      </c>
      <c r="T7" s="307">
        <f>'Table II'!$U$36</f>
        <v>0</v>
      </c>
      <c r="U7" s="82">
        <f>IFERROR(($T$7/$E$7*100),0)</f>
        <v>0</v>
      </c>
      <c r="V7" s="99">
        <f>'Table II'!$W$36</f>
        <v>0</v>
      </c>
      <c r="W7" s="96">
        <f>IFERROR(($V$7/$E$7*100),0)</f>
        <v>0</v>
      </c>
      <c r="X7" s="99">
        <f>'Table II'!$Y$36</f>
        <v>0</v>
      </c>
      <c r="Y7" s="96">
        <f>IFERROR(($X$7/$E$7*100),0)</f>
        <v>0</v>
      </c>
      <c r="Z7" s="99">
        <f>'Table II'!$Y$36</f>
        <v>0</v>
      </c>
      <c r="AA7" s="96">
        <f>IFERROR(($Z$7/$E$7*100),0)</f>
        <v>0</v>
      </c>
      <c r="AB7" s="99">
        <f>$V$7+$X$7+$Z$7</f>
        <v>0</v>
      </c>
      <c r="AC7" s="96">
        <f>IFERROR(($AB$7/$E$7*100),0)</f>
        <v>0</v>
      </c>
      <c r="AD7" s="200">
        <f>'Table II'!$AE$36</f>
        <v>0</v>
      </c>
      <c r="AE7" s="114"/>
      <c r="AF7" s="115"/>
      <c r="AG7" s="116"/>
    </row>
    <row r="8" spans="2:33" s="78" customFormat="1" ht="25.5" customHeight="1" x14ac:dyDescent="0.25">
      <c r="B8" s="83" t="s">
        <v>38</v>
      </c>
      <c r="C8" s="84" t="s">
        <v>33</v>
      </c>
      <c r="D8" s="304">
        <f>'Table III'!$D$94</f>
        <v>0</v>
      </c>
      <c r="E8" s="304">
        <f>'Table III'!$E$94</f>
        <v>0</v>
      </c>
      <c r="F8" s="85">
        <v>0</v>
      </c>
      <c r="G8" s="85">
        <v>0</v>
      </c>
      <c r="H8" s="81">
        <f>$G$8+$F$8+$E$8</f>
        <v>0</v>
      </c>
      <c r="I8" s="91">
        <f>IFERROR($H$8/$H$12*100,0)</f>
        <v>0</v>
      </c>
      <c r="J8" s="81">
        <f>$H$8</f>
        <v>0</v>
      </c>
      <c r="K8" s="85">
        <v>0</v>
      </c>
      <c r="L8" s="81">
        <f>$J$8+$K$8</f>
        <v>0</v>
      </c>
      <c r="M8" s="82">
        <f>IFERROR(($L$8/$E$12*100),0)</f>
        <v>0</v>
      </c>
      <c r="N8" s="85">
        <f>'Table III'!$N$94</f>
        <v>0</v>
      </c>
      <c r="O8" s="85">
        <f>'Table III'!$O$94</f>
        <v>0</v>
      </c>
      <c r="P8" s="85">
        <f>'Table III'!$P$94</f>
        <v>0</v>
      </c>
      <c r="Q8" s="81">
        <f>$N$8+$O$8+$P$8</f>
        <v>0</v>
      </c>
      <c r="R8" s="81">
        <f>$Q$8+$H$8</f>
        <v>0</v>
      </c>
      <c r="S8" s="96">
        <f>IFERROR(($R$8/$R$12*100),0)</f>
        <v>0</v>
      </c>
      <c r="T8" s="304">
        <f>'Table III'!$T$94</f>
        <v>0</v>
      </c>
      <c r="U8" s="98">
        <f>IFERROR(($T$8/$E$8*100),0)</f>
        <v>0</v>
      </c>
      <c r="V8" s="100"/>
      <c r="W8" s="101"/>
      <c r="X8" s="102"/>
      <c r="Y8" s="101"/>
      <c r="Z8" s="102"/>
      <c r="AA8" s="101"/>
      <c r="AB8" s="103"/>
      <c r="AC8" s="104"/>
      <c r="AD8" s="201">
        <f>'Table III'!$AD$94</f>
        <v>0</v>
      </c>
      <c r="AE8" s="117">
        <v>0</v>
      </c>
      <c r="AF8" s="117">
        <v>0</v>
      </c>
      <c r="AG8" s="117">
        <v>0</v>
      </c>
    </row>
    <row r="9" spans="2:33" s="78" customFormat="1" ht="25.5" customHeight="1" x14ac:dyDescent="0.25">
      <c r="B9" s="79" t="s">
        <v>39</v>
      </c>
      <c r="C9" s="80" t="s">
        <v>34</v>
      </c>
      <c r="D9" s="305">
        <f>$D$10+$D$11</f>
        <v>0</v>
      </c>
      <c r="E9" s="305">
        <f>$E$10+$E$11</f>
        <v>0</v>
      </c>
      <c r="F9" s="81">
        <v>0</v>
      </c>
      <c r="G9" s="81">
        <v>0</v>
      </c>
      <c r="H9" s="86">
        <f>$G$9+$F$9+$E$9</f>
        <v>0</v>
      </c>
      <c r="I9" s="94"/>
      <c r="J9" s="90">
        <f>$H$9</f>
        <v>0</v>
      </c>
      <c r="K9" s="81">
        <v>0</v>
      </c>
      <c r="L9" s="86">
        <f>$J$9+$K$9</f>
        <v>0</v>
      </c>
      <c r="M9" s="82">
        <f>IFERROR(($L$9/$E$12*100),0)</f>
        <v>0</v>
      </c>
      <c r="N9" s="81">
        <f>$N$10+$N$11</f>
        <v>0</v>
      </c>
      <c r="O9" s="81">
        <f>$O$10+$O$11</f>
        <v>0</v>
      </c>
      <c r="P9" s="81">
        <f>$P$10+$P$11</f>
        <v>0</v>
      </c>
      <c r="Q9" s="81">
        <f>$N$9+$O$9+$P$9</f>
        <v>0</v>
      </c>
      <c r="R9" s="89">
        <f>$Q$9+$H$9</f>
        <v>0</v>
      </c>
      <c r="S9" s="94"/>
      <c r="T9" s="308">
        <f>'Table IV'!$T$9</f>
        <v>0</v>
      </c>
      <c r="U9" s="98">
        <f>IFERROR(($T$9/$E$9*100),0)</f>
        <v>0</v>
      </c>
      <c r="V9" s="105"/>
      <c r="W9" s="93"/>
      <c r="X9" s="106"/>
      <c r="Y9" s="93"/>
      <c r="Z9" s="106"/>
      <c r="AA9" s="93"/>
      <c r="AB9" s="106"/>
      <c r="AC9" s="107"/>
      <c r="AD9" s="202">
        <f>AD10+AD11</f>
        <v>0</v>
      </c>
      <c r="AE9" s="119"/>
      <c r="AF9" s="120"/>
      <c r="AG9" s="121"/>
    </row>
    <row r="10" spans="2:33" s="78" customFormat="1" ht="25.5" customHeight="1" x14ac:dyDescent="0.25">
      <c r="B10" s="87" t="s">
        <v>223</v>
      </c>
      <c r="C10" s="84" t="s">
        <v>35</v>
      </c>
      <c r="D10" s="306">
        <v>0</v>
      </c>
      <c r="E10" s="306">
        <v>0</v>
      </c>
      <c r="F10" s="85">
        <v>0</v>
      </c>
      <c r="G10" s="85">
        <v>0</v>
      </c>
      <c r="H10" s="86">
        <f>$G$10+$F$10+$E$10</f>
        <v>0</v>
      </c>
      <c r="I10" s="95"/>
      <c r="J10" s="90">
        <f>$H$10</f>
        <v>0</v>
      </c>
      <c r="K10" s="85">
        <v>0</v>
      </c>
      <c r="L10" s="86">
        <f>$J$10+$K$10</f>
        <v>0</v>
      </c>
      <c r="M10" s="82">
        <f>IFERROR(($L$10/$E$12*100),0)</f>
        <v>0</v>
      </c>
      <c r="N10" s="85">
        <v>0</v>
      </c>
      <c r="O10" s="85">
        <v>0</v>
      </c>
      <c r="P10" s="85">
        <v>0</v>
      </c>
      <c r="Q10" s="81">
        <f>$N$10+$O$10+$P$10</f>
        <v>0</v>
      </c>
      <c r="R10" s="89">
        <f>$Q$10+$H$10</f>
        <v>0</v>
      </c>
      <c r="S10" s="97"/>
      <c r="T10" s="309">
        <f>'Table IV'!$T$7</f>
        <v>0</v>
      </c>
      <c r="U10" s="98">
        <f>IFERROR(($T$10/$E$10*100),0)</f>
        <v>0</v>
      </c>
      <c r="V10" s="108"/>
      <c r="W10" s="93"/>
      <c r="X10" s="109"/>
      <c r="Y10" s="93"/>
      <c r="Z10" s="109"/>
      <c r="AA10" s="93"/>
      <c r="AB10" s="106"/>
      <c r="AC10" s="107"/>
      <c r="AD10" s="202">
        <f>'Table IV'!$AD$7</f>
        <v>0</v>
      </c>
      <c r="AE10" s="122"/>
      <c r="AF10" s="118"/>
      <c r="AG10" s="123"/>
    </row>
    <row r="11" spans="2:33" s="78" customFormat="1" ht="25.5" customHeight="1" x14ac:dyDescent="0.25">
      <c r="B11" s="88" t="s">
        <v>222</v>
      </c>
      <c r="C11" s="80" t="s">
        <v>36</v>
      </c>
      <c r="D11" s="305">
        <v>0</v>
      </c>
      <c r="E11" s="305">
        <v>0</v>
      </c>
      <c r="F11" s="81">
        <v>0</v>
      </c>
      <c r="G11" s="81">
        <v>0</v>
      </c>
      <c r="H11" s="86">
        <f>$G$11+$F$11+$E$11</f>
        <v>0</v>
      </c>
      <c r="I11" s="92">
        <f>IFERROR($H$11/$H$12*100,0)</f>
        <v>0</v>
      </c>
      <c r="J11" s="86">
        <f>$H$11</f>
        <v>0</v>
      </c>
      <c r="K11" s="81">
        <v>0</v>
      </c>
      <c r="L11" s="86">
        <f>$J$11+$K$11</f>
        <v>0</v>
      </c>
      <c r="M11" s="82">
        <f>IFERROR(($L$11/$E$12*100),0)</f>
        <v>0</v>
      </c>
      <c r="N11" s="81">
        <v>0</v>
      </c>
      <c r="O11" s="81">
        <v>0</v>
      </c>
      <c r="P11" s="81">
        <v>0</v>
      </c>
      <c r="Q11" s="81">
        <f>$N$11+$O$11+$P$11</f>
        <v>0</v>
      </c>
      <c r="R11" s="86">
        <f>$Q$11+$H$11</f>
        <v>0</v>
      </c>
      <c r="S11" s="92">
        <f>IFERROR(($R$11/$R$12*100),0)</f>
        <v>0</v>
      </c>
      <c r="T11" s="310">
        <f>'Table IV'!$T$8</f>
        <v>0</v>
      </c>
      <c r="U11" s="98">
        <f>IFERROR(($T$11/$E$11*100),0)</f>
        <v>0</v>
      </c>
      <c r="V11" s="110"/>
      <c r="W11" s="111"/>
      <c r="X11" s="112"/>
      <c r="Y11" s="111"/>
      <c r="Z11" s="112"/>
      <c r="AA11" s="111"/>
      <c r="AB11" s="112"/>
      <c r="AC11" s="113"/>
      <c r="AD11" s="202">
        <f>'Table IV'!$AD$8</f>
        <v>0</v>
      </c>
      <c r="AE11" s="124"/>
      <c r="AF11" s="125"/>
      <c r="AG11" s="126"/>
    </row>
    <row r="12" spans="2:33" s="78" customFormat="1" ht="32.25" customHeight="1" x14ac:dyDescent="0.25">
      <c r="B12" s="362" t="s">
        <v>226</v>
      </c>
      <c r="C12" s="362"/>
      <c r="D12" s="127">
        <f>SUM($D$7:$D$9)</f>
        <v>0</v>
      </c>
      <c r="E12" s="128">
        <f>SUM($E$7:$E$9)</f>
        <v>0</v>
      </c>
      <c r="F12" s="128">
        <f>SUM($F$7:$F$9)</f>
        <v>0</v>
      </c>
      <c r="G12" s="128">
        <f>SUM($G$7:$G$9)</f>
        <v>0</v>
      </c>
      <c r="H12" s="129">
        <f>$G$12+$F$12+$E$12</f>
        <v>0</v>
      </c>
      <c r="I12" s="130">
        <f>SUM($I$7+$I$8+$I$11)</f>
        <v>0</v>
      </c>
      <c r="J12" s="129">
        <f>SUM($J$7:$J$9)</f>
        <v>0</v>
      </c>
      <c r="K12" s="128">
        <f>SUM($K$7:$K$9)</f>
        <v>0</v>
      </c>
      <c r="L12" s="129">
        <f>SUM($L$7:$L$9)</f>
        <v>0</v>
      </c>
      <c r="M12" s="131">
        <f>IFERROR(($L$12/$E$12*100),0)</f>
        <v>0</v>
      </c>
      <c r="N12" s="128">
        <f>SUM($N$7:$N$9)</f>
        <v>0</v>
      </c>
      <c r="O12" s="128">
        <f>SUM($O$7:$O$9)</f>
        <v>0</v>
      </c>
      <c r="P12" s="128">
        <f>SUM($P$7:$P$9)</f>
        <v>0</v>
      </c>
      <c r="Q12" s="129">
        <f>SUM($Q$7:$Q$9)</f>
        <v>0</v>
      </c>
      <c r="R12" s="129">
        <f>$Q$12+$H$12</f>
        <v>0</v>
      </c>
      <c r="S12" s="131">
        <f>$S$7+$S$8+$S$11</f>
        <v>0</v>
      </c>
      <c r="T12" s="128">
        <f>SUM($T$7:$T$9)</f>
        <v>0</v>
      </c>
      <c r="U12" s="131">
        <f>IFERROR(($T$12/$E$12*100),0)</f>
        <v>0</v>
      </c>
      <c r="V12" s="132">
        <f>SUM($V$7)</f>
        <v>0</v>
      </c>
      <c r="W12" s="133">
        <f>IFERROR(($V$12/$E$12*100),0)</f>
        <v>0</v>
      </c>
      <c r="X12" s="132">
        <f>SUM($X$7)</f>
        <v>0</v>
      </c>
      <c r="Y12" s="133">
        <f>IFERROR(($X$12/$E$12*100),0)</f>
        <v>0</v>
      </c>
      <c r="Z12" s="132">
        <f>SUM($Z$7)</f>
        <v>0</v>
      </c>
      <c r="AA12" s="133">
        <f>IFERROR(($Z$12/$E$12*100),0)</f>
        <v>0</v>
      </c>
      <c r="AB12" s="134">
        <f>$V$12+$X$12+$Z$12</f>
        <v>0</v>
      </c>
      <c r="AC12" s="133">
        <f>IFERROR(($AB$12/$E$12*100),0)</f>
        <v>0</v>
      </c>
      <c r="AD12" s="203">
        <f>SUM($AD$7:$AD$9)</f>
        <v>0</v>
      </c>
      <c r="AE12" s="134">
        <f>SUM($AE$8)</f>
        <v>0</v>
      </c>
      <c r="AF12" s="134">
        <f>SUM($AF$8)</f>
        <v>0</v>
      </c>
      <c r="AG12" s="134">
        <f>SUM($AG$8)</f>
        <v>0</v>
      </c>
    </row>
    <row r="13" spans="2:33" x14ac:dyDescent="0.25">
      <c r="G13" s="52"/>
      <c r="S13" s="54"/>
    </row>
  </sheetData>
  <mergeCells count="46">
    <mergeCell ref="B12:C12"/>
    <mergeCell ref="AB6:AC6"/>
    <mergeCell ref="AB3:AC3"/>
    <mergeCell ref="J6:M6"/>
    <mergeCell ref="F3:F5"/>
    <mergeCell ref="H3:H5"/>
    <mergeCell ref="I3:I5"/>
    <mergeCell ref="J3:M3"/>
    <mergeCell ref="T6:U6"/>
    <mergeCell ref="J4:L4"/>
    <mergeCell ref="M4:M5"/>
    <mergeCell ref="T4:T5"/>
    <mergeCell ref="U4:U5"/>
    <mergeCell ref="B3:B5"/>
    <mergeCell ref="C3:C5"/>
    <mergeCell ref="D3:D5"/>
    <mergeCell ref="E3:E5"/>
    <mergeCell ref="AD3:AD5"/>
    <mergeCell ref="AC4:AC5"/>
    <mergeCell ref="R3:R5"/>
    <mergeCell ref="S3:S5"/>
    <mergeCell ref="T3:U3"/>
    <mergeCell ref="G3:G5"/>
    <mergeCell ref="AB4:AB5"/>
    <mergeCell ref="Q3:Q5"/>
    <mergeCell ref="X4:X5"/>
    <mergeCell ref="Y4:Y5"/>
    <mergeCell ref="P3:P5"/>
    <mergeCell ref="O3:O5"/>
    <mergeCell ref="N3:N5"/>
    <mergeCell ref="B1:AG1"/>
    <mergeCell ref="V3:W3"/>
    <mergeCell ref="V4:V5"/>
    <mergeCell ref="W4:W5"/>
    <mergeCell ref="V6:W6"/>
    <mergeCell ref="AE3:AG3"/>
    <mergeCell ref="AE4:AG4"/>
    <mergeCell ref="AE5:AE6"/>
    <mergeCell ref="AF5:AF6"/>
    <mergeCell ref="AG5:AG6"/>
    <mergeCell ref="Z3:AA3"/>
    <mergeCell ref="Z4:Z5"/>
    <mergeCell ref="AA4:AA5"/>
    <mergeCell ref="Z6:AA6"/>
    <mergeCell ref="X6:Y6"/>
    <mergeCell ref="X3:Y3"/>
  </mergeCells>
  <pageMargins left="0.11811023622047245" right="0.11811023622047245" top="0.78740157480314965" bottom="0.74803149606299213" header="0.31496062992125984" footer="0.31496062992125984"/>
  <pageSetup scale="2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AH43"/>
  <sheetViews>
    <sheetView showGridLines="0" zoomScale="80" zoomScaleNormal="80" workbookViewId="0">
      <selection sqref="A1:AH1"/>
    </sheetView>
  </sheetViews>
  <sheetFormatPr defaultColWidth="9.140625" defaultRowHeight="15" x14ac:dyDescent="0.25"/>
  <cols>
    <col min="1" max="1" width="9.140625" style="38"/>
    <col min="2" max="2" width="38.140625" style="37" customWidth="1"/>
    <col min="3" max="3" width="21.140625" style="37" customWidth="1"/>
    <col min="4" max="4" width="20.42578125" style="37" customWidth="1"/>
    <col min="5" max="5" width="13.42578125" style="37" customWidth="1"/>
    <col min="6" max="6" width="14.42578125" style="37" customWidth="1"/>
    <col min="7" max="8" width="13.140625" style="37" customWidth="1"/>
    <col min="9" max="9" width="14" style="37" customWidth="1"/>
    <col min="10" max="10" width="12" style="45" customWidth="1"/>
    <col min="11" max="12" width="16.42578125" style="37" customWidth="1"/>
    <col min="13" max="13" width="11.85546875" style="37" customWidth="1"/>
    <col min="14" max="14" width="10" style="45" customWidth="1"/>
    <col min="15" max="17" width="14.42578125" style="37" customWidth="1"/>
    <col min="18" max="18" width="17.7109375" style="37" customWidth="1"/>
    <col min="19" max="19" width="15.28515625" style="37" customWidth="1"/>
    <col min="20" max="20" width="17.7109375" style="45" customWidth="1"/>
    <col min="21" max="21" width="18.42578125" style="37" customWidth="1"/>
    <col min="22" max="22" width="9.140625" style="45"/>
    <col min="23" max="23" width="12.140625" style="37" customWidth="1"/>
    <col min="24" max="24" width="12.140625" style="45" customWidth="1"/>
    <col min="25" max="25" width="12.140625" style="37" customWidth="1"/>
    <col min="26" max="26" width="12.140625" style="45" customWidth="1"/>
    <col min="27" max="27" width="12.140625" style="37" customWidth="1"/>
    <col min="28" max="28" width="12.140625" style="45" customWidth="1"/>
    <col min="29" max="29" width="12.140625" style="37" customWidth="1"/>
    <col min="30" max="30" width="12.140625" style="45" customWidth="1"/>
    <col min="31" max="34" width="18.42578125" style="37" customWidth="1"/>
    <col min="35" max="16384" width="9.140625" style="37"/>
  </cols>
  <sheetData>
    <row r="1" spans="1:34" ht="33.75" customHeight="1" x14ac:dyDescent="0.25">
      <c r="A1" s="363" t="s">
        <v>43</v>
      </c>
      <c r="B1" s="363"/>
      <c r="C1" s="363"/>
      <c r="D1" s="363"/>
      <c r="E1" s="363"/>
      <c r="F1" s="363"/>
      <c r="G1" s="363"/>
      <c r="H1" s="363"/>
      <c r="I1" s="363"/>
      <c r="J1" s="363"/>
      <c r="K1" s="363"/>
      <c r="L1" s="363"/>
      <c r="M1" s="363"/>
      <c r="N1" s="363"/>
      <c r="O1" s="363"/>
      <c r="P1" s="363"/>
      <c r="Q1" s="363"/>
      <c r="R1" s="363"/>
      <c r="S1" s="363"/>
      <c r="T1" s="363"/>
      <c r="U1" s="363"/>
      <c r="V1" s="363"/>
      <c r="W1" s="363"/>
      <c r="X1" s="363"/>
      <c r="Y1" s="363"/>
      <c r="Z1" s="363"/>
      <c r="AA1" s="363"/>
      <c r="AB1" s="363"/>
      <c r="AC1" s="363"/>
      <c r="AD1" s="363"/>
      <c r="AE1" s="363"/>
      <c r="AF1" s="363"/>
      <c r="AG1" s="363"/>
      <c r="AH1" s="363"/>
    </row>
    <row r="2" spans="1:34" ht="11.25" customHeight="1" x14ac:dyDescent="0.25">
      <c r="A2" s="374"/>
      <c r="B2" s="374"/>
      <c r="C2" s="374"/>
      <c r="D2" s="374"/>
      <c r="E2" s="374"/>
      <c r="F2" s="374"/>
      <c r="G2" s="374"/>
      <c r="H2" s="374"/>
      <c r="I2" s="374"/>
      <c r="J2" s="374"/>
      <c r="K2" s="374"/>
      <c r="L2" s="374"/>
      <c r="M2" s="374"/>
      <c r="N2" s="374"/>
      <c r="O2" s="374"/>
      <c r="P2" s="374"/>
      <c r="Q2" s="374"/>
      <c r="R2" s="374"/>
      <c r="S2" s="374"/>
      <c r="T2" s="374"/>
      <c r="U2" s="374"/>
      <c r="V2" s="374"/>
      <c r="W2" s="374"/>
      <c r="X2" s="374"/>
      <c r="Y2" s="374"/>
      <c r="Z2" s="374"/>
      <c r="AA2" s="374"/>
      <c r="AB2" s="374"/>
      <c r="AC2" s="374"/>
      <c r="AD2" s="374"/>
      <c r="AE2" s="374"/>
      <c r="AF2" s="39"/>
      <c r="AG2" s="39"/>
      <c r="AH2" s="39"/>
    </row>
    <row r="3" spans="1:34" s="46" customFormat="1" ht="70.5" customHeight="1" x14ac:dyDescent="0.25">
      <c r="A3" s="372" t="s">
        <v>148</v>
      </c>
      <c r="B3" s="372" t="s">
        <v>45</v>
      </c>
      <c r="C3" s="372" t="s">
        <v>46</v>
      </c>
      <c r="D3" s="372" t="s">
        <v>47</v>
      </c>
      <c r="E3" s="372" t="s">
        <v>48</v>
      </c>
      <c r="F3" s="372" t="s">
        <v>49</v>
      </c>
      <c r="G3" s="372" t="s">
        <v>50</v>
      </c>
      <c r="H3" s="372" t="s">
        <v>40</v>
      </c>
      <c r="I3" s="372" t="s">
        <v>14</v>
      </c>
      <c r="J3" s="373" t="s">
        <v>15</v>
      </c>
      <c r="K3" s="372" t="s">
        <v>16</v>
      </c>
      <c r="L3" s="372"/>
      <c r="M3" s="372"/>
      <c r="N3" s="372"/>
      <c r="O3" s="358" t="s">
        <v>172</v>
      </c>
      <c r="P3" s="358" t="s">
        <v>174</v>
      </c>
      <c r="Q3" s="358" t="s">
        <v>176</v>
      </c>
      <c r="R3" s="358" t="s">
        <v>178</v>
      </c>
      <c r="S3" s="358" t="s">
        <v>180</v>
      </c>
      <c r="T3" s="361" t="s">
        <v>182</v>
      </c>
      <c r="U3" s="372" t="s">
        <v>17</v>
      </c>
      <c r="V3" s="372"/>
      <c r="W3" s="358" t="s">
        <v>185</v>
      </c>
      <c r="X3" s="358"/>
      <c r="Y3" s="358" t="s">
        <v>186</v>
      </c>
      <c r="Z3" s="358"/>
      <c r="AA3" s="358" t="s">
        <v>188</v>
      </c>
      <c r="AB3" s="358"/>
      <c r="AC3" s="358" t="s">
        <v>191</v>
      </c>
      <c r="AD3" s="358"/>
      <c r="AE3" s="372" t="s">
        <v>18</v>
      </c>
      <c r="AF3" s="358" t="s">
        <v>194</v>
      </c>
      <c r="AG3" s="358"/>
      <c r="AH3" s="358"/>
    </row>
    <row r="4" spans="1:34" s="46" customFormat="1" ht="45" customHeight="1" x14ac:dyDescent="0.25">
      <c r="A4" s="372"/>
      <c r="B4" s="372"/>
      <c r="C4" s="372"/>
      <c r="D4" s="372"/>
      <c r="E4" s="372"/>
      <c r="F4" s="372"/>
      <c r="G4" s="372"/>
      <c r="H4" s="372"/>
      <c r="I4" s="372"/>
      <c r="J4" s="373"/>
      <c r="K4" s="372" t="s">
        <v>19</v>
      </c>
      <c r="L4" s="372"/>
      <c r="M4" s="372"/>
      <c r="N4" s="373" t="s">
        <v>51</v>
      </c>
      <c r="O4" s="358"/>
      <c r="P4" s="358"/>
      <c r="Q4" s="358"/>
      <c r="R4" s="358"/>
      <c r="S4" s="358"/>
      <c r="T4" s="361"/>
      <c r="U4" s="372" t="s">
        <v>20</v>
      </c>
      <c r="V4" s="373" t="s">
        <v>21</v>
      </c>
      <c r="W4" s="358" t="s">
        <v>20</v>
      </c>
      <c r="X4" s="358" t="s">
        <v>21</v>
      </c>
      <c r="Y4" s="358" t="s">
        <v>20</v>
      </c>
      <c r="Z4" s="358" t="s">
        <v>21</v>
      </c>
      <c r="AA4" s="358" t="s">
        <v>20</v>
      </c>
      <c r="AB4" s="358" t="s">
        <v>21</v>
      </c>
      <c r="AC4" s="358" t="s">
        <v>20</v>
      </c>
      <c r="AD4" s="358" t="s">
        <v>21</v>
      </c>
      <c r="AE4" s="372"/>
      <c r="AF4" s="358" t="s">
        <v>69</v>
      </c>
      <c r="AG4" s="358"/>
      <c r="AH4" s="358"/>
    </row>
    <row r="5" spans="1:34" s="46" customFormat="1" ht="36.75" customHeight="1" x14ac:dyDescent="0.25">
      <c r="A5" s="372"/>
      <c r="B5" s="372"/>
      <c r="C5" s="372"/>
      <c r="D5" s="372"/>
      <c r="E5" s="372"/>
      <c r="F5" s="372"/>
      <c r="G5" s="372"/>
      <c r="H5" s="372"/>
      <c r="I5" s="372"/>
      <c r="J5" s="373"/>
      <c r="K5" s="207" t="s">
        <v>159</v>
      </c>
      <c r="L5" s="207" t="s">
        <v>160</v>
      </c>
      <c r="M5" s="207" t="s">
        <v>22</v>
      </c>
      <c r="N5" s="373"/>
      <c r="O5" s="358"/>
      <c r="P5" s="358"/>
      <c r="Q5" s="358"/>
      <c r="R5" s="358"/>
      <c r="S5" s="358"/>
      <c r="T5" s="361"/>
      <c r="U5" s="372"/>
      <c r="V5" s="373"/>
      <c r="W5" s="358"/>
      <c r="X5" s="358"/>
      <c r="Y5" s="358"/>
      <c r="Z5" s="358"/>
      <c r="AA5" s="358"/>
      <c r="AB5" s="358"/>
      <c r="AC5" s="358"/>
      <c r="AD5" s="358"/>
      <c r="AE5" s="372"/>
      <c r="AF5" s="358" t="s">
        <v>70</v>
      </c>
      <c r="AG5" s="358" t="s">
        <v>71</v>
      </c>
      <c r="AH5" s="358" t="s">
        <v>72</v>
      </c>
    </row>
    <row r="6" spans="1:34" s="47" customFormat="1" ht="57.75" customHeight="1" x14ac:dyDescent="0.25">
      <c r="A6" s="207" t="s">
        <v>44</v>
      </c>
      <c r="B6" s="207" t="s">
        <v>23</v>
      </c>
      <c r="C6" s="207"/>
      <c r="D6" s="207" t="s">
        <v>24</v>
      </c>
      <c r="E6" s="207" t="s">
        <v>25</v>
      </c>
      <c r="F6" s="207" t="s">
        <v>26</v>
      </c>
      <c r="G6" s="207" t="s">
        <v>27</v>
      </c>
      <c r="H6" s="207" t="s">
        <v>28</v>
      </c>
      <c r="I6" s="207" t="s">
        <v>29</v>
      </c>
      <c r="J6" s="208" t="s">
        <v>30</v>
      </c>
      <c r="K6" s="372" t="s">
        <v>31</v>
      </c>
      <c r="L6" s="372"/>
      <c r="M6" s="372"/>
      <c r="N6" s="372"/>
      <c r="O6" s="205" t="s">
        <v>173</v>
      </c>
      <c r="P6" s="205" t="s">
        <v>175</v>
      </c>
      <c r="Q6" s="205" t="s">
        <v>177</v>
      </c>
      <c r="R6" s="205" t="s">
        <v>179</v>
      </c>
      <c r="S6" s="205" t="s">
        <v>181</v>
      </c>
      <c r="T6" s="206" t="s">
        <v>183</v>
      </c>
      <c r="U6" s="372" t="s">
        <v>184</v>
      </c>
      <c r="V6" s="372"/>
      <c r="W6" s="358" t="s">
        <v>32</v>
      </c>
      <c r="X6" s="358"/>
      <c r="Y6" s="358" t="s">
        <v>187</v>
      </c>
      <c r="Z6" s="358"/>
      <c r="AA6" s="358" t="s">
        <v>189</v>
      </c>
      <c r="AB6" s="358"/>
      <c r="AC6" s="358" t="s">
        <v>190</v>
      </c>
      <c r="AD6" s="358"/>
      <c r="AE6" s="207" t="s">
        <v>193</v>
      </c>
      <c r="AF6" s="358"/>
      <c r="AG6" s="358"/>
      <c r="AH6" s="358"/>
    </row>
    <row r="7" spans="1:34" s="48" customFormat="1" ht="24.75" customHeight="1" x14ac:dyDescent="0.25">
      <c r="A7" s="9" t="s">
        <v>113</v>
      </c>
      <c r="B7" s="368" t="s">
        <v>52</v>
      </c>
      <c r="C7" s="369"/>
      <c r="D7" s="369"/>
      <c r="E7" s="369"/>
      <c r="F7" s="369"/>
      <c r="G7" s="369"/>
      <c r="H7" s="369"/>
      <c r="I7" s="369"/>
      <c r="J7" s="369"/>
      <c r="K7" s="369"/>
      <c r="L7" s="369"/>
      <c r="M7" s="369"/>
      <c r="N7" s="369"/>
      <c r="O7" s="369"/>
      <c r="P7" s="369"/>
      <c r="Q7" s="369"/>
      <c r="R7" s="369"/>
      <c r="S7" s="369"/>
      <c r="T7" s="369"/>
      <c r="U7" s="369"/>
      <c r="V7" s="369"/>
      <c r="W7" s="369"/>
      <c r="X7" s="369"/>
      <c r="Y7" s="369"/>
      <c r="Z7" s="369"/>
      <c r="AA7" s="369"/>
      <c r="AB7" s="369"/>
      <c r="AC7" s="369"/>
      <c r="AD7" s="369"/>
      <c r="AE7" s="370"/>
      <c r="AF7" s="370"/>
      <c r="AG7" s="370"/>
      <c r="AH7" s="371"/>
    </row>
    <row r="8" spans="1:34" s="48" customFormat="1" ht="26.25" customHeight="1" x14ac:dyDescent="0.25">
      <c r="A8" s="135" t="s">
        <v>53</v>
      </c>
      <c r="B8" s="136" t="s">
        <v>271</v>
      </c>
      <c r="C8" s="135" t="s">
        <v>5</v>
      </c>
      <c r="D8" s="135" t="s">
        <v>5</v>
      </c>
      <c r="E8" s="194">
        <v>0</v>
      </c>
      <c r="F8" s="194">
        <v>0</v>
      </c>
      <c r="G8" s="138">
        <v>0</v>
      </c>
      <c r="H8" s="138">
        <v>0</v>
      </c>
      <c r="I8" s="138">
        <f>$F$8+$G$8+$H$8</f>
        <v>0</v>
      </c>
      <c r="J8" s="139">
        <f>IFERROR($I$8/'Table I'!$E$12*100,0)</f>
        <v>0</v>
      </c>
      <c r="K8" s="138">
        <f>$I$8</f>
        <v>0</v>
      </c>
      <c r="L8" s="138">
        <v>0</v>
      </c>
      <c r="M8" s="138">
        <f>$K$8+$L$8</f>
        <v>0</v>
      </c>
      <c r="N8" s="139">
        <f>IFERROR($M$8/'Table I'!$E$12*100,0)</f>
        <v>0</v>
      </c>
      <c r="O8" s="138">
        <v>0</v>
      </c>
      <c r="P8" s="138">
        <v>0</v>
      </c>
      <c r="Q8" s="138">
        <v>0</v>
      </c>
      <c r="R8" s="138">
        <f>$O$8+$P$8+$Q$8</f>
        <v>0</v>
      </c>
      <c r="S8" s="138">
        <f>$R$8+$I$8</f>
        <v>0</v>
      </c>
      <c r="T8" s="139">
        <f>IFERROR(($S$8/'Table I'!$R$12*100),0)</f>
        <v>0</v>
      </c>
      <c r="U8" s="194">
        <v>0</v>
      </c>
      <c r="V8" s="139">
        <f>IFERROR($U$8/$F$8*100,0)</f>
        <v>0</v>
      </c>
      <c r="W8" s="137">
        <v>0</v>
      </c>
      <c r="X8" s="139">
        <f>IFERROR(($W$8/$F$8*100),0)</f>
        <v>0</v>
      </c>
      <c r="Y8" s="137">
        <v>0</v>
      </c>
      <c r="Z8" s="139">
        <f>IFERROR(($Y$8/$F$8*100),0)</f>
        <v>0</v>
      </c>
      <c r="AA8" s="137">
        <v>0</v>
      </c>
      <c r="AB8" s="139">
        <f>IFERROR(($AA$8/$F$8*100),0)</f>
        <v>0</v>
      </c>
      <c r="AC8" s="137">
        <f>$W$8+$Y$8+$AA$8</f>
        <v>0</v>
      </c>
      <c r="AD8" s="299">
        <f>IFERROR(($AC$8/$F$8*100),0)</f>
        <v>0</v>
      </c>
      <c r="AE8" s="138">
        <v>0</v>
      </c>
      <c r="AF8" s="178"/>
      <c r="AG8" s="178"/>
      <c r="AH8" s="179"/>
    </row>
    <row r="9" spans="1:34" s="48" customFormat="1" ht="33" customHeight="1" x14ac:dyDescent="0.25">
      <c r="A9" s="135" t="s">
        <v>54</v>
      </c>
      <c r="B9" s="136" t="s">
        <v>272</v>
      </c>
      <c r="C9" s="135" t="s">
        <v>5</v>
      </c>
      <c r="D9" s="135" t="s">
        <v>5</v>
      </c>
      <c r="E9" s="195">
        <v>0</v>
      </c>
      <c r="F9" s="196">
        <v>0</v>
      </c>
      <c r="G9" s="138">
        <v>0</v>
      </c>
      <c r="H9" s="138">
        <v>0</v>
      </c>
      <c r="I9" s="138">
        <f>$F$9+$G$9+$H$9</f>
        <v>0</v>
      </c>
      <c r="J9" s="139">
        <f>IFERROR($I$9/'Table I'!$E$12*100,0)</f>
        <v>0</v>
      </c>
      <c r="K9" s="138">
        <f>$I$9</f>
        <v>0</v>
      </c>
      <c r="L9" s="138">
        <v>0</v>
      </c>
      <c r="M9" s="138">
        <f>$K$9+$L$9</f>
        <v>0</v>
      </c>
      <c r="N9" s="139">
        <f>IFERROR($M$9/'Table I'!$E$12*100,0)</f>
        <v>0</v>
      </c>
      <c r="O9" s="138">
        <v>0</v>
      </c>
      <c r="P9" s="138">
        <v>0</v>
      </c>
      <c r="Q9" s="138">
        <v>0</v>
      </c>
      <c r="R9" s="138">
        <f>$O$9+$P$9+$Q$9</f>
        <v>0</v>
      </c>
      <c r="S9" s="138">
        <f>$R$9+$I$9</f>
        <v>0</v>
      </c>
      <c r="T9" s="139">
        <f>IFERROR(($S$9/'Table I'!$R$12*100),0)</f>
        <v>0</v>
      </c>
      <c r="U9" s="194">
        <v>0</v>
      </c>
      <c r="V9" s="139">
        <f>IFERROR($U$9/$F$9*100,0)</f>
        <v>0</v>
      </c>
      <c r="W9" s="137">
        <v>0</v>
      </c>
      <c r="X9" s="139">
        <f>IFERROR(($W$9/$F$9*100),0)</f>
        <v>0</v>
      </c>
      <c r="Y9" s="137">
        <v>0</v>
      </c>
      <c r="Z9" s="139">
        <f>IFERROR(($Y$9/$F$9*100),0)</f>
        <v>0</v>
      </c>
      <c r="AA9" s="137">
        <v>0</v>
      </c>
      <c r="AB9" s="139">
        <f>IFERROR(($AA$9/$F$9*100),0)</f>
        <v>0</v>
      </c>
      <c r="AC9" s="137">
        <f>$W$9+$Y$9+$AA$9</f>
        <v>0</v>
      </c>
      <c r="AD9" s="299">
        <f>IFERROR(($AC$9/$F$9*100),0)</f>
        <v>0</v>
      </c>
      <c r="AE9" s="138">
        <v>0</v>
      </c>
      <c r="AF9" s="175"/>
      <c r="AG9" s="175"/>
      <c r="AH9" s="181"/>
    </row>
    <row r="10" spans="1:34" s="48" customFormat="1" ht="26.25" customHeight="1" x14ac:dyDescent="0.25">
      <c r="A10" s="135" t="s">
        <v>55</v>
      </c>
      <c r="B10" s="136" t="s">
        <v>273</v>
      </c>
      <c r="C10" s="135" t="s">
        <v>5</v>
      </c>
      <c r="D10" s="135" t="s">
        <v>5</v>
      </c>
      <c r="E10" s="195">
        <v>0</v>
      </c>
      <c r="F10" s="195">
        <v>0</v>
      </c>
      <c r="G10" s="138">
        <v>0</v>
      </c>
      <c r="H10" s="138">
        <v>0</v>
      </c>
      <c r="I10" s="138">
        <f>$F$10+$G$10+$H$10</f>
        <v>0</v>
      </c>
      <c r="J10" s="139">
        <f>IFERROR($I$10/'Table I'!$E$12*100,0)</f>
        <v>0</v>
      </c>
      <c r="K10" s="138">
        <f>$I$10</f>
        <v>0</v>
      </c>
      <c r="L10" s="138">
        <v>0</v>
      </c>
      <c r="M10" s="138">
        <f>$K$10+$L$10</f>
        <v>0</v>
      </c>
      <c r="N10" s="139">
        <f>IFERROR($M$10/'Table I'!$E$12*100,0)</f>
        <v>0</v>
      </c>
      <c r="O10" s="138">
        <v>0</v>
      </c>
      <c r="P10" s="138">
        <v>0</v>
      </c>
      <c r="Q10" s="138">
        <v>0</v>
      </c>
      <c r="R10" s="138">
        <f>$O$10+$P$10+$Q$10</f>
        <v>0</v>
      </c>
      <c r="S10" s="138">
        <f>$R$10+$I$10</f>
        <v>0</v>
      </c>
      <c r="T10" s="139">
        <f>IFERROR(($S$10/'Table I'!$R$12*100),0)</f>
        <v>0</v>
      </c>
      <c r="U10" s="194">
        <v>0</v>
      </c>
      <c r="V10" s="139">
        <f>IFERROR($U$10/$F$10*100,0)</f>
        <v>0</v>
      </c>
      <c r="W10" s="137">
        <v>0</v>
      </c>
      <c r="X10" s="139">
        <f>IFERROR(($W$10/$F$10*100),0)</f>
        <v>0</v>
      </c>
      <c r="Y10" s="137">
        <v>0</v>
      </c>
      <c r="Z10" s="139">
        <f>IFERROR(($Y$10/$F$10*100),0)</f>
        <v>0</v>
      </c>
      <c r="AA10" s="137">
        <v>0</v>
      </c>
      <c r="AB10" s="139">
        <f>IFERROR(($AA$10/$F$10*100),0)</f>
        <v>0</v>
      </c>
      <c r="AC10" s="137">
        <f>$W$10+$Y$10+$AA$10</f>
        <v>0</v>
      </c>
      <c r="AD10" s="299">
        <f>IFERROR(($AC$10/$F$10*100),0)</f>
        <v>0</v>
      </c>
      <c r="AE10" s="138">
        <v>0</v>
      </c>
      <c r="AF10" s="175"/>
      <c r="AG10" s="175"/>
      <c r="AH10" s="181"/>
    </row>
    <row r="11" spans="1:34" s="48" customFormat="1" ht="26.25" customHeight="1" x14ac:dyDescent="0.25">
      <c r="A11" s="275" t="s">
        <v>56</v>
      </c>
      <c r="B11" s="276" t="s">
        <v>263</v>
      </c>
      <c r="C11" s="275" t="s">
        <v>5</v>
      </c>
      <c r="D11" s="275" t="s">
        <v>5</v>
      </c>
      <c r="E11" s="277">
        <f>$E$12+$E$13+$E$14+$E$15+$E$16+$E$17</f>
        <v>0</v>
      </c>
      <c r="F11" s="277">
        <f>$F$12+$F$13+$F$14+$F$15+$F$16+$F$17</f>
        <v>0</v>
      </c>
      <c r="G11" s="278">
        <f>$G$12+$G$13+$G$14+$G$15+$G$16+$G$17</f>
        <v>0</v>
      </c>
      <c r="H11" s="278">
        <f>$H$12+$H$13+$H$14+$H$15+$H$16+$H$17</f>
        <v>0</v>
      </c>
      <c r="I11" s="138">
        <f>$F$11+$G$11+$H$11</f>
        <v>0</v>
      </c>
      <c r="J11" s="279">
        <f>IFERROR($I$11/'Table I'!$E$12*100,0)</f>
        <v>0</v>
      </c>
      <c r="K11" s="278">
        <f>$I$11</f>
        <v>0</v>
      </c>
      <c r="L11" s="278">
        <f>$L$12+$L$13+$L$14+$L$15+$L$16+$L$17</f>
        <v>0</v>
      </c>
      <c r="M11" s="278">
        <f>$K$11+$L$11</f>
        <v>0</v>
      </c>
      <c r="N11" s="139">
        <f>IFERROR($M$11/'Table I'!$E$12*100,0)</f>
        <v>0</v>
      </c>
      <c r="O11" s="278">
        <f>$O$12+$O$13+$O$14+$O$15+$O$16+$O$17</f>
        <v>0</v>
      </c>
      <c r="P11" s="278">
        <f>$P$12+$P$13+$P$14+$P$15+$P$16+$P$17</f>
        <v>0</v>
      </c>
      <c r="Q11" s="278">
        <f>$Q$12+$Q$13+$Q$14+$Q$15+$Q$16+$Q$17</f>
        <v>0</v>
      </c>
      <c r="R11" s="278">
        <f>$O$11+$P$11+$Q$11</f>
        <v>0</v>
      </c>
      <c r="S11" s="278">
        <f>$R$11+$I$11</f>
        <v>0</v>
      </c>
      <c r="T11" s="279">
        <f>IFERROR(($S$11/'Table I'!$R$12*100),0)</f>
        <v>0</v>
      </c>
      <c r="U11" s="280">
        <f>$U$12+$U$13+$U$14+$U$15+$U$16+$U$17</f>
        <v>0</v>
      </c>
      <c r="V11" s="279">
        <f>IFERROR($U$11/$F$11*100,0)</f>
        <v>0</v>
      </c>
      <c r="W11" s="281">
        <f>$W$12+$W$13+$W$14+$W$15+$W$16+$W$17</f>
        <v>0</v>
      </c>
      <c r="X11" s="279">
        <f>IFERROR(($W$11/$F$11*100),0)</f>
        <v>0</v>
      </c>
      <c r="Y11" s="281">
        <f>$Y$12+$Y$13+$Y$14+$Y$15+$Y$16+$Y$17</f>
        <v>0</v>
      </c>
      <c r="Z11" s="279">
        <f>IFERROR(($Y$11/$F$11*100),0)</f>
        <v>0</v>
      </c>
      <c r="AA11" s="281">
        <f>$AA$12+$AA$13+$AA$14+$AA$15+$AA$16+$AA$17</f>
        <v>0</v>
      </c>
      <c r="AB11" s="279">
        <f>IFERROR(($AA$11/$F$11*100),0)</f>
        <v>0</v>
      </c>
      <c r="AC11" s="281">
        <f>$W$11+$Y$11+$AA$11</f>
        <v>0</v>
      </c>
      <c r="AD11" s="300">
        <f>IFERROR(($AC$11/$F$11*100),0)</f>
        <v>0</v>
      </c>
      <c r="AE11" s="138">
        <v>0</v>
      </c>
      <c r="AF11" s="175"/>
      <c r="AG11" s="175"/>
      <c r="AH11" s="181"/>
    </row>
    <row r="12" spans="1:34" s="48" customFormat="1" ht="18.75" customHeight="1" x14ac:dyDescent="0.25">
      <c r="A12" s="135"/>
      <c r="B12" s="136" t="s">
        <v>265</v>
      </c>
      <c r="C12" s="135" t="s">
        <v>5</v>
      </c>
      <c r="D12" s="135" t="s">
        <v>5</v>
      </c>
      <c r="E12" s="194">
        <v>0</v>
      </c>
      <c r="F12" s="194">
        <v>0</v>
      </c>
      <c r="G12" s="138">
        <v>0</v>
      </c>
      <c r="H12" s="138">
        <v>0</v>
      </c>
      <c r="I12" s="138">
        <f>$F$12+$G$12+$H$12</f>
        <v>0</v>
      </c>
      <c r="J12" s="139">
        <f>IFERROR($I$12/'Table I'!$E$12*100,0)</f>
        <v>0</v>
      </c>
      <c r="K12" s="138">
        <f>$I$12</f>
        <v>0</v>
      </c>
      <c r="L12" s="138">
        <v>0</v>
      </c>
      <c r="M12" s="138">
        <f>$K$12+$L$12</f>
        <v>0</v>
      </c>
      <c r="N12" s="139">
        <f>IFERROR($M$12/'Table I'!$E$12*100,0)</f>
        <v>0</v>
      </c>
      <c r="O12" s="138">
        <v>0</v>
      </c>
      <c r="P12" s="138">
        <v>0</v>
      </c>
      <c r="Q12" s="138">
        <v>0</v>
      </c>
      <c r="R12" s="138">
        <f>$O$12+$P$12+$Q$12</f>
        <v>0</v>
      </c>
      <c r="S12" s="138">
        <f>$R$12+$I$12</f>
        <v>0</v>
      </c>
      <c r="T12" s="139">
        <f>IFERROR(($S$12/'Table I'!$R$12*100),0)</f>
        <v>0</v>
      </c>
      <c r="U12" s="194">
        <v>0</v>
      </c>
      <c r="V12" s="139">
        <f>IFERROR($U$12/F12*100,0)</f>
        <v>0</v>
      </c>
      <c r="W12" s="137">
        <v>0</v>
      </c>
      <c r="X12" s="139">
        <f>IFERROR(($W$12/$F$12*100),0)</f>
        <v>0</v>
      </c>
      <c r="Y12" s="137">
        <v>0</v>
      </c>
      <c r="Z12" s="139">
        <f>IFERROR(($Y$12/$F$12*100),0)</f>
        <v>0</v>
      </c>
      <c r="AA12" s="137">
        <v>0</v>
      </c>
      <c r="AB12" s="139">
        <f>IFERROR(($AA$12/$F$12*100),0)</f>
        <v>0</v>
      </c>
      <c r="AC12" s="137">
        <f>$W$12+$Y$12+$AA$12</f>
        <v>0</v>
      </c>
      <c r="AD12" s="299">
        <f>IFERROR(($AC$12/$F$12*100),0)</f>
        <v>0</v>
      </c>
      <c r="AE12" s="138">
        <v>0</v>
      </c>
      <c r="AF12" s="175"/>
      <c r="AG12" s="175"/>
      <c r="AH12" s="298"/>
    </row>
    <row r="13" spans="1:34" s="48" customFormat="1" ht="18.75" customHeight="1" x14ac:dyDescent="0.25">
      <c r="A13" s="135"/>
      <c r="B13" s="136" t="s">
        <v>227</v>
      </c>
      <c r="C13" s="135" t="s">
        <v>5</v>
      </c>
      <c r="D13" s="135" t="s">
        <v>5</v>
      </c>
      <c r="E13" s="194">
        <v>0</v>
      </c>
      <c r="F13" s="194">
        <v>0</v>
      </c>
      <c r="G13" s="138">
        <v>0</v>
      </c>
      <c r="H13" s="138">
        <v>0</v>
      </c>
      <c r="I13" s="138">
        <f>$F$13+$G$13+$H$13</f>
        <v>0</v>
      </c>
      <c r="J13" s="139">
        <f>IFERROR($I$13/'Table I'!$E$12*100,0)</f>
        <v>0</v>
      </c>
      <c r="K13" s="138">
        <f>$I$13</f>
        <v>0</v>
      </c>
      <c r="L13" s="138">
        <v>0</v>
      </c>
      <c r="M13" s="138">
        <f>$K$13+$L$13</f>
        <v>0</v>
      </c>
      <c r="N13" s="139">
        <f>IFERROR($M$13/'Table I'!$E$12*100,0)</f>
        <v>0</v>
      </c>
      <c r="O13" s="138">
        <v>0</v>
      </c>
      <c r="P13" s="138">
        <v>0</v>
      </c>
      <c r="Q13" s="138">
        <v>0</v>
      </c>
      <c r="R13" s="138">
        <f>$O$13+$P$13+$Q$13</f>
        <v>0</v>
      </c>
      <c r="S13" s="138">
        <f>$R$13+$I$13</f>
        <v>0</v>
      </c>
      <c r="T13" s="139">
        <f>IFERROR(($S$13/'Table I'!$R$12*100),0)</f>
        <v>0</v>
      </c>
      <c r="U13" s="194">
        <v>0</v>
      </c>
      <c r="V13" s="139">
        <f>IFERROR($U$13/F13*100,0)</f>
        <v>0</v>
      </c>
      <c r="W13" s="137">
        <v>0</v>
      </c>
      <c r="X13" s="139">
        <f>IFERROR(($W$13/$F$13*100),0)</f>
        <v>0</v>
      </c>
      <c r="Y13" s="137">
        <v>0</v>
      </c>
      <c r="Z13" s="139">
        <f>IFERROR(($Y$13/$F$13*100),0)</f>
        <v>0</v>
      </c>
      <c r="AA13" s="137">
        <v>0</v>
      </c>
      <c r="AB13" s="139">
        <f>IFERROR(($AA$13/$F$13*100),0)</f>
        <v>0</v>
      </c>
      <c r="AC13" s="137">
        <f>$W$13+$Y$13+$AA$13</f>
        <v>0</v>
      </c>
      <c r="AD13" s="299">
        <f>IFERROR(($AC$13/$F$13*100),0)</f>
        <v>0</v>
      </c>
      <c r="AE13" s="138">
        <v>0</v>
      </c>
      <c r="AF13" s="175"/>
      <c r="AG13" s="175"/>
      <c r="AH13" s="298"/>
    </row>
    <row r="14" spans="1:34" s="48" customFormat="1" ht="18.75" customHeight="1" x14ac:dyDescent="0.25">
      <c r="A14" s="135"/>
      <c r="B14" s="136" t="s">
        <v>218</v>
      </c>
      <c r="C14" s="135" t="s">
        <v>5</v>
      </c>
      <c r="D14" s="135" t="s">
        <v>5</v>
      </c>
      <c r="E14" s="194">
        <v>0</v>
      </c>
      <c r="F14" s="194">
        <v>0</v>
      </c>
      <c r="G14" s="138">
        <v>0</v>
      </c>
      <c r="H14" s="138">
        <v>0</v>
      </c>
      <c r="I14" s="138">
        <f>$F$14+$G$14+$H$14</f>
        <v>0</v>
      </c>
      <c r="J14" s="139">
        <f>IFERROR($I$14/'Table I'!$E$12*100,0)</f>
        <v>0</v>
      </c>
      <c r="K14" s="138">
        <f>$I$14</f>
        <v>0</v>
      </c>
      <c r="L14" s="138">
        <v>0</v>
      </c>
      <c r="M14" s="138">
        <f>$K$14+$L$14</f>
        <v>0</v>
      </c>
      <c r="N14" s="139">
        <f>IFERROR($M$14/'Table I'!$E$12*100,0)</f>
        <v>0</v>
      </c>
      <c r="O14" s="138">
        <v>0</v>
      </c>
      <c r="P14" s="138">
        <v>0</v>
      </c>
      <c r="Q14" s="138">
        <v>0</v>
      </c>
      <c r="R14" s="138">
        <f>$O$14+$P$14+$Q$14</f>
        <v>0</v>
      </c>
      <c r="S14" s="138">
        <f>$R$14+$I$14</f>
        <v>0</v>
      </c>
      <c r="T14" s="139">
        <f>IFERROR(($S$14/'Table I'!$R$12*100),0)</f>
        <v>0</v>
      </c>
      <c r="U14" s="194">
        <v>0</v>
      </c>
      <c r="V14" s="139">
        <f>IFERROR($U$14/F14*100,0)</f>
        <v>0</v>
      </c>
      <c r="W14" s="137">
        <v>0</v>
      </c>
      <c r="X14" s="139">
        <f>IFERROR(($W$14/$F$14*100),0)</f>
        <v>0</v>
      </c>
      <c r="Y14" s="137">
        <v>0</v>
      </c>
      <c r="Z14" s="139">
        <f>IFERROR(($Y$14/$F$14*100),0)</f>
        <v>0</v>
      </c>
      <c r="AA14" s="137">
        <v>0</v>
      </c>
      <c r="AB14" s="139">
        <f>IFERROR(($AA$14/$F$14*100),0)</f>
        <v>0</v>
      </c>
      <c r="AC14" s="137">
        <f>$W$14+$Y$14+$AA$14</f>
        <v>0</v>
      </c>
      <c r="AD14" s="299">
        <f>IFERROR(($AC$14/$F$14*100),0)</f>
        <v>0</v>
      </c>
      <c r="AE14" s="138">
        <v>0</v>
      </c>
      <c r="AF14" s="175"/>
      <c r="AG14" s="175"/>
      <c r="AH14" s="298"/>
    </row>
    <row r="15" spans="1:34" s="48" customFormat="1" ht="18.75" customHeight="1" x14ac:dyDescent="0.25">
      <c r="A15" s="135"/>
      <c r="B15" s="136" t="s">
        <v>266</v>
      </c>
      <c r="C15" s="135" t="s">
        <v>5</v>
      </c>
      <c r="D15" s="135" t="s">
        <v>5</v>
      </c>
      <c r="E15" s="194">
        <v>0</v>
      </c>
      <c r="F15" s="194">
        <v>0</v>
      </c>
      <c r="G15" s="138">
        <v>0</v>
      </c>
      <c r="H15" s="138">
        <v>0</v>
      </c>
      <c r="I15" s="138">
        <f>$F$15+$G$15+$H$15</f>
        <v>0</v>
      </c>
      <c r="J15" s="139">
        <f>IFERROR($I$15/'Table I'!$E$12*100,0)</f>
        <v>0</v>
      </c>
      <c r="K15" s="138">
        <f>$I$15</f>
        <v>0</v>
      </c>
      <c r="L15" s="138">
        <v>0</v>
      </c>
      <c r="M15" s="138">
        <f>$K$15+$L$15</f>
        <v>0</v>
      </c>
      <c r="N15" s="139">
        <f>IFERROR($M$15/'Table I'!$E$12*100,0)</f>
        <v>0</v>
      </c>
      <c r="O15" s="138">
        <v>0</v>
      </c>
      <c r="P15" s="138">
        <v>0</v>
      </c>
      <c r="Q15" s="138">
        <v>0</v>
      </c>
      <c r="R15" s="138">
        <f>$O$15+$P$15+$Q$15</f>
        <v>0</v>
      </c>
      <c r="S15" s="138">
        <f>$R$15+$I$15</f>
        <v>0</v>
      </c>
      <c r="T15" s="139">
        <f>IFERROR(($S$15/'Table I'!$R$12*100),0)</f>
        <v>0</v>
      </c>
      <c r="U15" s="194">
        <v>0</v>
      </c>
      <c r="V15" s="139">
        <f>IFERROR($U$15/F15*100,0)</f>
        <v>0</v>
      </c>
      <c r="W15" s="137">
        <v>0</v>
      </c>
      <c r="X15" s="139">
        <f>IFERROR(($W$15/$F$15*100),0)</f>
        <v>0</v>
      </c>
      <c r="Y15" s="137">
        <v>0</v>
      </c>
      <c r="Z15" s="139">
        <f>IFERROR(($Y$15/$F$15*100),0)</f>
        <v>0</v>
      </c>
      <c r="AA15" s="137">
        <v>0</v>
      </c>
      <c r="AB15" s="139">
        <f>IFERROR(($AA$15/$F$15*100),0)</f>
        <v>0</v>
      </c>
      <c r="AC15" s="137">
        <f>$W$15+$Y$15+$AA$15</f>
        <v>0</v>
      </c>
      <c r="AD15" s="299">
        <f>IFERROR(($AC$15/$F$15*100),0)</f>
        <v>0</v>
      </c>
      <c r="AE15" s="138">
        <v>0</v>
      </c>
      <c r="AF15" s="175"/>
      <c r="AG15" s="175"/>
      <c r="AH15" s="298"/>
    </row>
    <row r="16" spans="1:34" s="48" customFormat="1" ht="18.75" customHeight="1" x14ac:dyDescent="0.25">
      <c r="A16" s="135"/>
      <c r="B16" s="136" t="s">
        <v>267</v>
      </c>
      <c r="C16" s="135" t="s">
        <v>5</v>
      </c>
      <c r="D16" s="135" t="s">
        <v>5</v>
      </c>
      <c r="E16" s="194">
        <v>0</v>
      </c>
      <c r="F16" s="194">
        <v>0</v>
      </c>
      <c r="G16" s="138">
        <v>0</v>
      </c>
      <c r="H16" s="138">
        <v>0</v>
      </c>
      <c r="I16" s="138">
        <f>$F$16+$G$16+$H$16</f>
        <v>0</v>
      </c>
      <c r="J16" s="139">
        <f>IFERROR($I$16/'Table I'!$E$12*100,0)</f>
        <v>0</v>
      </c>
      <c r="K16" s="138">
        <f>$I$16</f>
        <v>0</v>
      </c>
      <c r="L16" s="138">
        <v>0</v>
      </c>
      <c r="M16" s="138">
        <f>$K$16+$L$16</f>
        <v>0</v>
      </c>
      <c r="N16" s="139">
        <f>IFERROR($M$16/'Table I'!$E$12*100,0)</f>
        <v>0</v>
      </c>
      <c r="O16" s="138">
        <v>0</v>
      </c>
      <c r="P16" s="138">
        <v>0</v>
      </c>
      <c r="Q16" s="138">
        <v>0</v>
      </c>
      <c r="R16" s="138">
        <f>$O$16+$P$16+$Q$16</f>
        <v>0</v>
      </c>
      <c r="S16" s="138">
        <f>$R$16+$I$16</f>
        <v>0</v>
      </c>
      <c r="T16" s="139">
        <f>IFERROR(($S$16/'Table I'!$R$12*100),0)</f>
        <v>0</v>
      </c>
      <c r="U16" s="194">
        <v>0</v>
      </c>
      <c r="V16" s="139">
        <f>IFERROR($U$16/F16*100,0)</f>
        <v>0</v>
      </c>
      <c r="W16" s="137">
        <v>0</v>
      </c>
      <c r="X16" s="139">
        <f>IFERROR(($W$16/$F$16*100),0)</f>
        <v>0</v>
      </c>
      <c r="Y16" s="137">
        <v>0</v>
      </c>
      <c r="Z16" s="139">
        <f>IFERROR(($Y$16/$F$16*100),0)</f>
        <v>0</v>
      </c>
      <c r="AA16" s="137">
        <v>0</v>
      </c>
      <c r="AB16" s="139">
        <f>IFERROR(($AA$16/$F$16*100),0)</f>
        <v>0</v>
      </c>
      <c r="AC16" s="137">
        <f>$W$16+$Y$16+$AA$16</f>
        <v>0</v>
      </c>
      <c r="AD16" s="299">
        <f>IFERROR(($AC$16/$F$16*100),0)</f>
        <v>0</v>
      </c>
      <c r="AE16" s="138">
        <v>0</v>
      </c>
      <c r="AF16" s="175"/>
      <c r="AG16" s="175"/>
      <c r="AH16" s="298"/>
    </row>
    <row r="17" spans="1:34" s="48" customFormat="1" ht="18.75" customHeight="1" x14ac:dyDescent="0.25">
      <c r="A17" s="135"/>
      <c r="B17" s="136" t="s">
        <v>258</v>
      </c>
      <c r="C17" s="135" t="s">
        <v>5</v>
      </c>
      <c r="D17" s="135" t="s">
        <v>5</v>
      </c>
      <c r="E17" s="194">
        <v>0</v>
      </c>
      <c r="F17" s="194">
        <v>0</v>
      </c>
      <c r="G17" s="138">
        <v>0</v>
      </c>
      <c r="H17" s="138">
        <v>0</v>
      </c>
      <c r="I17" s="138">
        <f>$F$17+$G$17+$H$17</f>
        <v>0</v>
      </c>
      <c r="J17" s="139">
        <f>IFERROR($I$17/'Table I'!$E$12*100,0)</f>
        <v>0</v>
      </c>
      <c r="K17" s="138">
        <f>$I$17</f>
        <v>0</v>
      </c>
      <c r="L17" s="138">
        <v>0</v>
      </c>
      <c r="M17" s="138">
        <f>$K$17+$L$17</f>
        <v>0</v>
      </c>
      <c r="N17" s="139">
        <f>IFERROR($M$17/'Table I'!$E$12*100,0)</f>
        <v>0</v>
      </c>
      <c r="O17" s="138">
        <v>0</v>
      </c>
      <c r="P17" s="138">
        <v>0</v>
      </c>
      <c r="Q17" s="138">
        <v>0</v>
      </c>
      <c r="R17" s="138">
        <f>$O$17+$P$17+$Q$17</f>
        <v>0</v>
      </c>
      <c r="S17" s="138">
        <f>$R$17+$I$17</f>
        <v>0</v>
      </c>
      <c r="T17" s="139">
        <f>IFERROR(($S$17/'Table I'!$R$12*100),0)</f>
        <v>0</v>
      </c>
      <c r="U17" s="194">
        <v>0</v>
      </c>
      <c r="V17" s="139">
        <f>IFERROR($U$17/F17*100,0)</f>
        <v>0</v>
      </c>
      <c r="W17" s="137">
        <v>0</v>
      </c>
      <c r="X17" s="139">
        <f>IFERROR(($W$17/$F$17*100),0)</f>
        <v>0</v>
      </c>
      <c r="Y17" s="137">
        <v>0</v>
      </c>
      <c r="Z17" s="139">
        <f>IFERROR(($Y$17/$F$17*100),0)</f>
        <v>0</v>
      </c>
      <c r="AA17" s="137">
        <v>0</v>
      </c>
      <c r="AB17" s="139">
        <f>IFERROR(($AA$17/$F$17*100),0)</f>
        <v>0</v>
      </c>
      <c r="AC17" s="137">
        <f>$W$17+$Y$17+$AA$17</f>
        <v>0</v>
      </c>
      <c r="AD17" s="299">
        <f>IFERROR(($AC$17/$F$17*100),0)</f>
        <v>0</v>
      </c>
      <c r="AE17" s="138">
        <v>0</v>
      </c>
      <c r="AF17" s="175"/>
      <c r="AG17" s="175"/>
      <c r="AH17" s="298"/>
    </row>
    <row r="18" spans="1:34" s="48" customFormat="1" ht="26.25" customHeight="1" x14ac:dyDescent="0.25">
      <c r="A18" s="282"/>
      <c r="B18" s="283" t="s">
        <v>57</v>
      </c>
      <c r="C18" s="282" t="s">
        <v>5</v>
      </c>
      <c r="D18" s="282" t="s">
        <v>5</v>
      </c>
      <c r="E18" s="284">
        <f>$E$11+$E$10+$E$9+$E$8</f>
        <v>0</v>
      </c>
      <c r="F18" s="284">
        <f>$F$11+$F$10+$F$9+$F$8</f>
        <v>0</v>
      </c>
      <c r="G18" s="284">
        <f>$G$8+$G$9+$G$10+$G$11</f>
        <v>0</v>
      </c>
      <c r="H18" s="284">
        <f>$H$8+$H$9+$H$10+$H$11</f>
        <v>0</v>
      </c>
      <c r="I18" s="284">
        <f>$F$18+$G$18+$H$18</f>
        <v>0</v>
      </c>
      <c r="J18" s="285">
        <f>IFERROR($I$18/'Table I'!$E$12*100,0)</f>
        <v>0</v>
      </c>
      <c r="K18" s="286">
        <f>$I$18</f>
        <v>0</v>
      </c>
      <c r="L18" s="284">
        <f>$L$8+$L$9+$L$10+$L$11</f>
        <v>0</v>
      </c>
      <c r="M18" s="286">
        <f>$K$18+$L$18</f>
        <v>0</v>
      </c>
      <c r="N18" s="285">
        <f>IFERROR($M$18/'Table I'!$E$12*100,0)</f>
        <v>0</v>
      </c>
      <c r="O18" s="284">
        <f>$O$8+$O$9+$O$10+$O$11</f>
        <v>0</v>
      </c>
      <c r="P18" s="284">
        <f>$P$8+$P$9+$P$10+$P$11</f>
        <v>0</v>
      </c>
      <c r="Q18" s="284">
        <f>$Q$8+$Q$9+$Q$10+$Q$11</f>
        <v>0</v>
      </c>
      <c r="R18" s="286">
        <f>$O$18+$P$18+$Q$18</f>
        <v>0</v>
      </c>
      <c r="S18" s="286">
        <f>$R$18+$I$18</f>
        <v>0</v>
      </c>
      <c r="T18" s="287">
        <f>IFERROR(($S$18/'Table I'!$R$12*100),0)</f>
        <v>0</v>
      </c>
      <c r="U18" s="284">
        <f>$U$11+$U$10+$U$9+$U$8</f>
        <v>0</v>
      </c>
      <c r="V18" s="285">
        <f>IFERROR($U$18/$F$18*100,0)</f>
        <v>0</v>
      </c>
      <c r="W18" s="284">
        <f>$W$8+$W$9+$W$10+$W$11</f>
        <v>0</v>
      </c>
      <c r="X18" s="287">
        <f>IFERROR(($W$18/$F$18*100),0)</f>
        <v>0</v>
      </c>
      <c r="Y18" s="284">
        <f>$Y$8+$Y$9+$Y$10+$Y$11</f>
        <v>0</v>
      </c>
      <c r="Z18" s="287">
        <f>IFERROR(($Y$18/$F$18*100),0)</f>
        <v>0</v>
      </c>
      <c r="AA18" s="284">
        <f>$AA$8+$AA$9+$AA$10+$AA$11</f>
        <v>0</v>
      </c>
      <c r="AB18" s="287">
        <f>IFERROR(($AA$18/$F$18*100),0)</f>
        <v>0</v>
      </c>
      <c r="AC18" s="288">
        <f>$W$18+$Y$18+$AA$18</f>
        <v>0</v>
      </c>
      <c r="AD18" s="287">
        <f>IFERROR(($AC$18/$F$18*100),0)</f>
        <v>0</v>
      </c>
      <c r="AE18" s="301">
        <f>$AE$8+$AE$9+$AE$10+AE11</f>
        <v>0</v>
      </c>
      <c r="AF18" s="182"/>
      <c r="AG18" s="182"/>
      <c r="AH18" s="183"/>
    </row>
    <row r="19" spans="1:34" s="48" customFormat="1" ht="24.75" customHeight="1" x14ac:dyDescent="0.25">
      <c r="A19" s="289" t="s">
        <v>114</v>
      </c>
      <c r="B19" s="364" t="s">
        <v>58</v>
      </c>
      <c r="C19" s="365"/>
      <c r="D19" s="365"/>
      <c r="E19" s="365"/>
      <c r="F19" s="365"/>
      <c r="G19" s="365"/>
      <c r="H19" s="365"/>
      <c r="I19" s="365"/>
      <c r="J19" s="365"/>
      <c r="K19" s="365"/>
      <c r="L19" s="365"/>
      <c r="M19" s="365"/>
      <c r="N19" s="365"/>
      <c r="O19" s="365"/>
      <c r="P19" s="365"/>
      <c r="Q19" s="365"/>
      <c r="R19" s="365"/>
      <c r="S19" s="365"/>
      <c r="T19" s="365"/>
      <c r="U19" s="365"/>
      <c r="V19" s="365"/>
      <c r="W19" s="365"/>
      <c r="X19" s="365"/>
      <c r="Y19" s="365"/>
      <c r="Z19" s="365"/>
      <c r="AA19" s="365"/>
      <c r="AB19" s="365"/>
      <c r="AC19" s="365"/>
      <c r="AD19" s="365"/>
      <c r="AE19" s="365"/>
      <c r="AF19" s="366"/>
      <c r="AG19" s="366"/>
      <c r="AH19" s="367"/>
    </row>
    <row r="20" spans="1:34" s="48" customFormat="1" ht="33" customHeight="1" x14ac:dyDescent="0.25">
      <c r="A20" s="135" t="s">
        <v>53</v>
      </c>
      <c r="B20" s="136" t="s">
        <v>268</v>
      </c>
      <c r="C20" s="135" t="s">
        <v>5</v>
      </c>
      <c r="D20" s="135" t="s">
        <v>5</v>
      </c>
      <c r="E20" s="195">
        <v>0</v>
      </c>
      <c r="F20" s="195">
        <v>0</v>
      </c>
      <c r="G20" s="138">
        <v>0</v>
      </c>
      <c r="H20" s="138">
        <v>0</v>
      </c>
      <c r="I20" s="138">
        <f>$F$20+$G$20+$H$20</f>
        <v>0</v>
      </c>
      <c r="J20" s="139">
        <f>IFERROR($I$20/'Table I'!$E$12*100,0)</f>
        <v>0</v>
      </c>
      <c r="K20" s="138">
        <f>$I$20</f>
        <v>0</v>
      </c>
      <c r="L20" s="138">
        <v>0</v>
      </c>
      <c r="M20" s="138">
        <f>$K$20+$L$20</f>
        <v>0</v>
      </c>
      <c r="N20" s="139">
        <f>IFERROR($M$20/'Table I'!$E$12*100,0)</f>
        <v>0</v>
      </c>
      <c r="O20" s="138">
        <v>0</v>
      </c>
      <c r="P20" s="138">
        <v>0</v>
      </c>
      <c r="Q20" s="138">
        <v>0</v>
      </c>
      <c r="R20" s="138">
        <f>$O$20+$P$20+$Q$20</f>
        <v>0</v>
      </c>
      <c r="S20" s="138">
        <f>$R$20+$I$20</f>
        <v>0</v>
      </c>
      <c r="T20" s="139">
        <f>IFERROR(($S$20/'Table I'!$R$12*100),0)</f>
        <v>0</v>
      </c>
      <c r="U20" s="194">
        <v>0</v>
      </c>
      <c r="V20" s="139">
        <f>IFERROR($U$20/$F$20*100,0)</f>
        <v>0</v>
      </c>
      <c r="W20" s="137">
        <v>0</v>
      </c>
      <c r="X20" s="139">
        <f>IFERROR(($W$20/$F$20*100),0)</f>
        <v>0</v>
      </c>
      <c r="Y20" s="137">
        <v>0</v>
      </c>
      <c r="Z20" s="139">
        <f>IFERROR(($Y$20/$F$20*100),0)</f>
        <v>0</v>
      </c>
      <c r="AA20" s="137">
        <v>0</v>
      </c>
      <c r="AB20" s="139">
        <f>IFERROR(($AA$20/$F$20*100),0)</f>
        <v>0</v>
      </c>
      <c r="AC20" s="137">
        <f>$W$20+$Y$20+$AA$20</f>
        <v>0</v>
      </c>
      <c r="AD20" s="139">
        <f>IFERROR(($AC$20/$F$20*100),0)</f>
        <v>0</v>
      </c>
      <c r="AE20" s="174">
        <v>0</v>
      </c>
      <c r="AF20" s="177"/>
      <c r="AG20" s="178"/>
      <c r="AH20" s="179"/>
    </row>
    <row r="21" spans="1:34" s="48" customFormat="1" ht="26.25" customHeight="1" x14ac:dyDescent="0.25">
      <c r="A21" s="135" t="s">
        <v>54</v>
      </c>
      <c r="B21" s="136" t="s">
        <v>59</v>
      </c>
      <c r="C21" s="135" t="s">
        <v>5</v>
      </c>
      <c r="D21" s="135" t="s">
        <v>5</v>
      </c>
      <c r="E21" s="195">
        <v>0</v>
      </c>
      <c r="F21" s="195">
        <v>0</v>
      </c>
      <c r="G21" s="138">
        <v>0</v>
      </c>
      <c r="H21" s="138">
        <v>0</v>
      </c>
      <c r="I21" s="138">
        <f>$F$21+$G$21+$H$21</f>
        <v>0</v>
      </c>
      <c r="J21" s="139">
        <f>IFERROR($I$21/'Table I'!$E$12*100,0)</f>
        <v>0</v>
      </c>
      <c r="K21" s="138">
        <f>$I$21</f>
        <v>0</v>
      </c>
      <c r="L21" s="138">
        <v>0</v>
      </c>
      <c r="M21" s="138">
        <f>$K$21+$L$21</f>
        <v>0</v>
      </c>
      <c r="N21" s="139">
        <f>IFERROR($M$21/'Table I'!$E$12*100,0)</f>
        <v>0</v>
      </c>
      <c r="O21" s="138">
        <v>0</v>
      </c>
      <c r="P21" s="138">
        <v>0</v>
      </c>
      <c r="Q21" s="138">
        <v>0</v>
      </c>
      <c r="R21" s="138">
        <f>$O$21+$P$21+$Q$21</f>
        <v>0</v>
      </c>
      <c r="S21" s="138">
        <f>$R$21+$I$21</f>
        <v>0</v>
      </c>
      <c r="T21" s="139">
        <f>IFERROR(($S$21/'Table I'!$R$12*100),0)</f>
        <v>0</v>
      </c>
      <c r="U21" s="194">
        <v>0</v>
      </c>
      <c r="V21" s="139">
        <f>IFERROR($U$21/$F$21*100,0)</f>
        <v>0</v>
      </c>
      <c r="W21" s="137">
        <v>0</v>
      </c>
      <c r="X21" s="139">
        <f>IFERROR(($W$21/$F$21*100),0)</f>
        <v>0</v>
      </c>
      <c r="Y21" s="137">
        <v>0</v>
      </c>
      <c r="Z21" s="139">
        <f>IFERROR(($Y$21/$F$21*100),0)</f>
        <v>0</v>
      </c>
      <c r="AA21" s="137">
        <v>0</v>
      </c>
      <c r="AB21" s="139">
        <f>IFERROR(($AA$21/$F$21*100),0)</f>
        <v>0</v>
      </c>
      <c r="AC21" s="137">
        <f>$W$21+$Y$21+$AA$21</f>
        <v>0</v>
      </c>
      <c r="AD21" s="139">
        <f>IFERROR(($AC$21/$F$21*100),0)</f>
        <v>0</v>
      </c>
      <c r="AE21" s="174">
        <v>0</v>
      </c>
      <c r="AF21" s="180"/>
      <c r="AG21" s="175"/>
      <c r="AH21" s="181"/>
    </row>
    <row r="22" spans="1:34" s="48" customFormat="1" ht="26.25" customHeight="1" x14ac:dyDescent="0.25">
      <c r="A22" s="135" t="s">
        <v>55</v>
      </c>
      <c r="B22" s="136" t="s">
        <v>60</v>
      </c>
      <c r="C22" s="135" t="s">
        <v>5</v>
      </c>
      <c r="D22" s="135" t="s">
        <v>5</v>
      </c>
      <c r="E22" s="195">
        <v>0</v>
      </c>
      <c r="F22" s="195">
        <v>0</v>
      </c>
      <c r="G22" s="138">
        <v>0</v>
      </c>
      <c r="H22" s="138">
        <v>0</v>
      </c>
      <c r="I22" s="138">
        <f>$F$22+$G$22+$H$22</f>
        <v>0</v>
      </c>
      <c r="J22" s="139">
        <f>IFERROR($I$22/'Table I'!$E$12*100,0)</f>
        <v>0</v>
      </c>
      <c r="K22" s="138">
        <f>$I$22</f>
        <v>0</v>
      </c>
      <c r="L22" s="138">
        <v>0</v>
      </c>
      <c r="M22" s="138">
        <f>$K$22+$L$22</f>
        <v>0</v>
      </c>
      <c r="N22" s="139">
        <f>IFERROR($M$22/'Table I'!$E$12*100,0)</f>
        <v>0</v>
      </c>
      <c r="O22" s="138">
        <v>0</v>
      </c>
      <c r="P22" s="138">
        <v>0</v>
      </c>
      <c r="Q22" s="138">
        <v>0</v>
      </c>
      <c r="R22" s="138">
        <f>$O$22+$P$22+$Q$22</f>
        <v>0</v>
      </c>
      <c r="S22" s="138">
        <f>$R$22+$I$22</f>
        <v>0</v>
      </c>
      <c r="T22" s="139">
        <f>IFERROR(($S$22/'Table I'!$R$12*100),0)</f>
        <v>0</v>
      </c>
      <c r="U22" s="194">
        <v>0</v>
      </c>
      <c r="V22" s="139">
        <f>IFERROR($U$22/$F$22*100,0)</f>
        <v>0</v>
      </c>
      <c r="W22" s="137">
        <v>0</v>
      </c>
      <c r="X22" s="139">
        <f>IFERROR(($W$22/$F$22*100),0)</f>
        <v>0</v>
      </c>
      <c r="Y22" s="137">
        <v>0</v>
      </c>
      <c r="Z22" s="139">
        <f>IFERROR(($Y$22/$F$22*100),0)</f>
        <v>0</v>
      </c>
      <c r="AA22" s="137">
        <v>0</v>
      </c>
      <c r="AB22" s="139">
        <f>IFERROR(($AA$22/$F$22*100),0)</f>
        <v>0</v>
      </c>
      <c r="AC22" s="137">
        <f>$W$22+$Y$22+$AA$22</f>
        <v>0</v>
      </c>
      <c r="AD22" s="139">
        <f>IFERROR(($AC$22/$F$22*100),0)</f>
        <v>0</v>
      </c>
      <c r="AE22" s="174">
        <v>0</v>
      </c>
      <c r="AF22" s="180"/>
      <c r="AG22" s="175"/>
      <c r="AH22" s="181"/>
    </row>
    <row r="23" spans="1:34" s="48" customFormat="1" ht="26.25" customHeight="1" x14ac:dyDescent="0.25">
      <c r="A23" s="135" t="s">
        <v>56</v>
      </c>
      <c r="B23" s="136" t="s">
        <v>269</v>
      </c>
      <c r="C23" s="135" t="s">
        <v>5</v>
      </c>
      <c r="D23" s="135" t="s">
        <v>5</v>
      </c>
      <c r="E23" s="195">
        <v>0</v>
      </c>
      <c r="F23" s="195">
        <v>0</v>
      </c>
      <c r="G23" s="138">
        <v>0</v>
      </c>
      <c r="H23" s="138">
        <v>0</v>
      </c>
      <c r="I23" s="138">
        <f>$F$23+$G$23+$H$23</f>
        <v>0</v>
      </c>
      <c r="J23" s="139">
        <f>IFERROR($I$23/'Table I'!$E$12*100,0)</f>
        <v>0</v>
      </c>
      <c r="K23" s="138">
        <f>$I$23</f>
        <v>0</v>
      </c>
      <c r="L23" s="138">
        <v>0</v>
      </c>
      <c r="M23" s="138">
        <f>$K$23+$L$23</f>
        <v>0</v>
      </c>
      <c r="N23" s="139">
        <f>IFERROR($M$23/'Table I'!$E$12*100,0)</f>
        <v>0</v>
      </c>
      <c r="O23" s="138">
        <v>0</v>
      </c>
      <c r="P23" s="138">
        <v>0</v>
      </c>
      <c r="Q23" s="138">
        <v>0</v>
      </c>
      <c r="R23" s="138">
        <f>$O$23+$P$23+$Q$23</f>
        <v>0</v>
      </c>
      <c r="S23" s="138">
        <f>$R$23+$I$23</f>
        <v>0</v>
      </c>
      <c r="T23" s="139">
        <f>IFERROR(($S$23/'Table I'!$R$12*100),0)</f>
        <v>0</v>
      </c>
      <c r="U23" s="194">
        <v>0</v>
      </c>
      <c r="V23" s="139">
        <f>IFERROR($U$23/$F$23*100,0)</f>
        <v>0</v>
      </c>
      <c r="W23" s="137">
        <v>0</v>
      </c>
      <c r="X23" s="139">
        <f>IFERROR(($W$23/$F$23*100),0)</f>
        <v>0</v>
      </c>
      <c r="Y23" s="137">
        <v>0</v>
      </c>
      <c r="Z23" s="139">
        <f>IFERROR(($Y$23/$F$23*100),0)</f>
        <v>0</v>
      </c>
      <c r="AA23" s="137">
        <v>0</v>
      </c>
      <c r="AB23" s="139">
        <f>IFERROR(($AA$23/$F$23*100),0)</f>
        <v>0</v>
      </c>
      <c r="AC23" s="137">
        <f>$W$23+$Y$23+$AA$23</f>
        <v>0</v>
      </c>
      <c r="AD23" s="139">
        <f>IFERROR(($AC$23/$F$23*100),0)</f>
        <v>0</v>
      </c>
      <c r="AE23" s="174">
        <v>0</v>
      </c>
      <c r="AF23" s="180"/>
      <c r="AG23" s="175"/>
      <c r="AH23" s="181"/>
    </row>
    <row r="24" spans="1:34" s="48" customFormat="1" ht="26.25" customHeight="1" x14ac:dyDescent="0.25">
      <c r="A24" s="275" t="s">
        <v>77</v>
      </c>
      <c r="B24" s="276" t="s">
        <v>263</v>
      </c>
      <c r="C24" s="275" t="s">
        <v>5</v>
      </c>
      <c r="D24" s="275" t="s">
        <v>5</v>
      </c>
      <c r="E24" s="277">
        <f>$E$25+$E$26+$E$27+$E$28+$E$29+$E$30+$E$31+$E$32+$E$33+$E$34</f>
        <v>0</v>
      </c>
      <c r="F24" s="277">
        <f>$F$25+$F$26+$F$27+$F$28+$F$29+$F$30+F31+F32+F33+F34</f>
        <v>0</v>
      </c>
      <c r="G24" s="278">
        <f>$G$25+$G$26+$G$27+$G$28+$G$29+$G$30+$G$31+$G$32+$G$33+$G$34</f>
        <v>0</v>
      </c>
      <c r="H24" s="278">
        <f>$H$25+$H$26+$H$27+$H$28+$H$29+$H$30+$H$31+$H$32+$H$33+$H$34</f>
        <v>0</v>
      </c>
      <c r="I24" s="138">
        <f>$F$24+$G$24+$H$24</f>
        <v>0</v>
      </c>
      <c r="J24" s="139">
        <f>IFERROR($I$24/'Table I'!$E$12*100,0)</f>
        <v>0</v>
      </c>
      <c r="K24" s="278">
        <f>$I$24</f>
        <v>0</v>
      </c>
      <c r="L24" s="278">
        <f>$L$25+$L$26+$L$27+$L$28+$L$29+$L$30+$L$31+$L$32+$L$33+$L$34</f>
        <v>0</v>
      </c>
      <c r="M24" s="278">
        <f>$K$24+$L$24</f>
        <v>0</v>
      </c>
      <c r="N24" s="139">
        <f>IFERROR($M$24/'Table I'!$E$12*100,0)</f>
        <v>0</v>
      </c>
      <c r="O24" s="278">
        <f>$O$25+$O$26+$O$27+$O$28+$O$29+$O$30+$O$31+$O$32+$O$33+$O$34</f>
        <v>0</v>
      </c>
      <c r="P24" s="278">
        <f>$P$25+$P$26+$P$27+$P$28+$P$29+$P$30+$P$31+$P$32+$P$33+$P$34</f>
        <v>0</v>
      </c>
      <c r="Q24" s="278">
        <f>$Q$25+$Q$26+$Q$27+$Q$28+$Q$29+$Q$30+$Q$31+$Q$32+$Q$33+$Q$34</f>
        <v>0</v>
      </c>
      <c r="R24" s="278">
        <f>$O$24+$P$24+$Q$24</f>
        <v>0</v>
      </c>
      <c r="S24" s="278">
        <f>$R$24+$I$24</f>
        <v>0</v>
      </c>
      <c r="T24" s="279">
        <f>IFERROR(($S$24/'Table I'!$R$12*100),0)</f>
        <v>0</v>
      </c>
      <c r="U24" s="280">
        <f>$U$25+$U$26+$U$27+$U$28+$U$29+$U$30+$U$31+$U$32+$U$33+$U$34</f>
        <v>0</v>
      </c>
      <c r="V24" s="279">
        <f>IFERROR($U$24/$F$24*100,0)</f>
        <v>0</v>
      </c>
      <c r="W24" s="281">
        <f>$W$25+$W$26+$W$27+$W$28+$W$29+$W$30+$W$31+$W$32+$W$33+$W$34</f>
        <v>0</v>
      </c>
      <c r="X24" s="279">
        <f>IFERROR(($W$24/$F$24*100),0)</f>
        <v>0</v>
      </c>
      <c r="Y24" s="281">
        <f>$Y$25+$Y$26+$Y$27+$Y$28+$Y$29+$Y$30+$Y$31+$Y$32+$Y$33+$Y$34</f>
        <v>0</v>
      </c>
      <c r="Z24" s="279">
        <f>IFERROR(($Y$24/$F$24*100),0)</f>
        <v>0</v>
      </c>
      <c r="AA24" s="281">
        <f>$AA$25+$AA$26+$AA$27+$AA$28+$AA$29+$AA$30+$AA$31+$AA$32+$AA$33+$AA$34</f>
        <v>0</v>
      </c>
      <c r="AB24" s="279">
        <f>IFERROR(($AA$24/$F$24*100),0)</f>
        <v>0</v>
      </c>
      <c r="AC24" s="281">
        <f>$W$24+$Y$24+$AA$24</f>
        <v>0</v>
      </c>
      <c r="AD24" s="279">
        <f>IFERROR(($AC$24/$F$24*100),0)</f>
        <v>0</v>
      </c>
      <c r="AE24" s="278">
        <v>0</v>
      </c>
      <c r="AF24" s="175"/>
      <c r="AG24" s="175"/>
      <c r="AH24" s="181"/>
    </row>
    <row r="25" spans="1:34" s="48" customFormat="1" ht="18" customHeight="1" x14ac:dyDescent="0.25">
      <c r="A25" s="135"/>
      <c r="B25" s="136" t="s">
        <v>227</v>
      </c>
      <c r="C25" s="135" t="s">
        <v>5</v>
      </c>
      <c r="D25" s="135" t="s">
        <v>5</v>
      </c>
      <c r="E25" s="194">
        <v>0</v>
      </c>
      <c r="F25" s="194">
        <v>0</v>
      </c>
      <c r="G25" s="138">
        <v>0</v>
      </c>
      <c r="H25" s="138">
        <v>0</v>
      </c>
      <c r="I25" s="138">
        <f>$F$25+$G$25+$H$25</f>
        <v>0</v>
      </c>
      <c r="J25" s="139">
        <f>IFERROR($I$25/'Table I'!$E$12*100,0)</f>
        <v>0</v>
      </c>
      <c r="K25" s="138">
        <f>$I$25</f>
        <v>0</v>
      </c>
      <c r="L25" s="138">
        <v>0</v>
      </c>
      <c r="M25" s="138">
        <f>$K$25+$L$25</f>
        <v>0</v>
      </c>
      <c r="N25" s="139">
        <f>IFERROR($M$25/'Table I'!$E$12*100,0)</f>
        <v>0</v>
      </c>
      <c r="O25" s="138">
        <v>0</v>
      </c>
      <c r="P25" s="138">
        <v>0</v>
      </c>
      <c r="Q25" s="138">
        <v>0</v>
      </c>
      <c r="R25" s="138">
        <f>$O$25+$P$25+$Q$25</f>
        <v>0</v>
      </c>
      <c r="S25" s="138">
        <f>$R$25+$I$25</f>
        <v>0</v>
      </c>
      <c r="T25" s="139">
        <f>IFERROR(($S$25/'Table I'!$R$12*100),0)</f>
        <v>0</v>
      </c>
      <c r="U25" s="194">
        <v>0</v>
      </c>
      <c r="V25" s="139">
        <f>IFERROR($U$25/$F$25*100,0)</f>
        <v>0</v>
      </c>
      <c r="W25" s="137">
        <v>0</v>
      </c>
      <c r="X25" s="139">
        <f>IFERROR(($W$25/$F$25*100),0)</f>
        <v>0</v>
      </c>
      <c r="Y25" s="137">
        <v>0</v>
      </c>
      <c r="Z25" s="139">
        <f>IFERROR(($Y$25/$F$25*100),0)</f>
        <v>0</v>
      </c>
      <c r="AA25" s="137">
        <v>0</v>
      </c>
      <c r="AB25" s="139">
        <f>IFERROR(($AA$25/$F$25*100),0)</f>
        <v>0</v>
      </c>
      <c r="AC25" s="137">
        <f>$W$25+$Y$25+$AA$25</f>
        <v>0</v>
      </c>
      <c r="AD25" s="139">
        <f>IFERROR(($AC$25/$F$25*100),0)</f>
        <v>0</v>
      </c>
      <c r="AE25" s="138">
        <v>0</v>
      </c>
      <c r="AF25" s="175"/>
      <c r="AG25" s="175"/>
      <c r="AH25" s="298"/>
    </row>
    <row r="26" spans="1:34" s="48" customFormat="1" ht="18" customHeight="1" x14ac:dyDescent="0.25">
      <c r="A26" s="135"/>
      <c r="B26" s="136" t="s">
        <v>255</v>
      </c>
      <c r="C26" s="135" t="s">
        <v>5</v>
      </c>
      <c r="D26" s="135" t="s">
        <v>5</v>
      </c>
      <c r="E26" s="194">
        <v>0</v>
      </c>
      <c r="F26" s="194">
        <v>0</v>
      </c>
      <c r="G26" s="138">
        <v>0</v>
      </c>
      <c r="H26" s="138">
        <v>0</v>
      </c>
      <c r="I26" s="138">
        <f>$F$26+$G$26+$H$26</f>
        <v>0</v>
      </c>
      <c r="J26" s="139">
        <f>IFERROR($I$26/'Table I'!$E$12*100,0)</f>
        <v>0</v>
      </c>
      <c r="K26" s="138">
        <f>$I$26</f>
        <v>0</v>
      </c>
      <c r="L26" s="138">
        <v>0</v>
      </c>
      <c r="M26" s="138">
        <f>$K$26+$L$26</f>
        <v>0</v>
      </c>
      <c r="N26" s="139">
        <f>IFERROR($M$26/'Table I'!$E$12*100,0)</f>
        <v>0</v>
      </c>
      <c r="O26" s="138">
        <v>0</v>
      </c>
      <c r="P26" s="138">
        <v>0</v>
      </c>
      <c r="Q26" s="138">
        <v>0</v>
      </c>
      <c r="R26" s="138">
        <f>$O$26+$P$26+$Q$26</f>
        <v>0</v>
      </c>
      <c r="S26" s="138">
        <f>$R$26+$I$26</f>
        <v>0</v>
      </c>
      <c r="T26" s="139">
        <f>IFERROR(($S$26/'Table I'!$R$12*100),0)</f>
        <v>0</v>
      </c>
      <c r="U26" s="194">
        <v>0</v>
      </c>
      <c r="V26" s="139">
        <f>IFERROR($U$26/$F$26*100,0)</f>
        <v>0</v>
      </c>
      <c r="W26" s="137">
        <v>0</v>
      </c>
      <c r="X26" s="139">
        <f>IFERROR(($W$26/$F$26*100),0)</f>
        <v>0</v>
      </c>
      <c r="Y26" s="137">
        <v>0</v>
      </c>
      <c r="Z26" s="139">
        <f>IFERROR(($Y$26/$F$26*100),0)</f>
        <v>0</v>
      </c>
      <c r="AA26" s="137">
        <v>0</v>
      </c>
      <c r="AB26" s="139">
        <f>IFERROR(($AA$26/$F$26*100),0)</f>
        <v>0</v>
      </c>
      <c r="AC26" s="137">
        <f>$W$26+$Y$26+$AA$26</f>
        <v>0</v>
      </c>
      <c r="AD26" s="139">
        <f>IFERROR(($AC$26/$F$26*100),0)</f>
        <v>0</v>
      </c>
      <c r="AE26" s="138">
        <v>0</v>
      </c>
      <c r="AF26" s="175"/>
      <c r="AG26" s="175"/>
      <c r="AH26" s="298"/>
    </row>
    <row r="27" spans="1:34" s="48" customFormat="1" ht="18" customHeight="1" x14ac:dyDescent="0.25">
      <c r="A27" s="135"/>
      <c r="B27" s="136" t="s">
        <v>240</v>
      </c>
      <c r="C27" s="135" t="s">
        <v>5</v>
      </c>
      <c r="D27" s="135" t="s">
        <v>5</v>
      </c>
      <c r="E27" s="194">
        <v>0</v>
      </c>
      <c r="F27" s="194">
        <v>0</v>
      </c>
      <c r="G27" s="138">
        <v>0</v>
      </c>
      <c r="H27" s="138">
        <v>0</v>
      </c>
      <c r="I27" s="138">
        <f>$F$27+$G$27+$H$27</f>
        <v>0</v>
      </c>
      <c r="J27" s="139">
        <f>IFERROR($I$27/'Table I'!$E$12*100,0)</f>
        <v>0</v>
      </c>
      <c r="K27" s="138">
        <f>$I$27</f>
        <v>0</v>
      </c>
      <c r="L27" s="138">
        <v>0</v>
      </c>
      <c r="M27" s="138">
        <f>$K$27+$L$27</f>
        <v>0</v>
      </c>
      <c r="N27" s="139">
        <f>IFERROR($M$27/'Table I'!$E$12*100,0)</f>
        <v>0</v>
      </c>
      <c r="O27" s="138">
        <v>0</v>
      </c>
      <c r="P27" s="138">
        <v>0</v>
      </c>
      <c r="Q27" s="138">
        <v>0</v>
      </c>
      <c r="R27" s="138">
        <f>$O$27+$P$27+$Q$27</f>
        <v>0</v>
      </c>
      <c r="S27" s="138">
        <f>$R$27+$I$27</f>
        <v>0</v>
      </c>
      <c r="T27" s="139">
        <f>IFERROR(($S$27/'Table I'!$R$12*100),0)</f>
        <v>0</v>
      </c>
      <c r="U27" s="194">
        <v>0</v>
      </c>
      <c r="V27" s="139">
        <f>IFERROR($U$27/$F$27*100,0)</f>
        <v>0</v>
      </c>
      <c r="W27" s="137">
        <v>0</v>
      </c>
      <c r="X27" s="139">
        <f>IFERROR(($W$27/$F$27*100),0)</f>
        <v>0</v>
      </c>
      <c r="Y27" s="137">
        <v>0</v>
      </c>
      <c r="Z27" s="139">
        <f>IFERROR(($Y$27/$F$27*100),0)</f>
        <v>0</v>
      </c>
      <c r="AA27" s="137">
        <v>0</v>
      </c>
      <c r="AB27" s="139">
        <f>IFERROR(($AA$27/$F$27*100),0)</f>
        <v>0</v>
      </c>
      <c r="AC27" s="137">
        <f>$W$27+$Y$27+$AA$27</f>
        <v>0</v>
      </c>
      <c r="AD27" s="139">
        <f>IFERROR(($AC$27/$F$27*100),0)</f>
        <v>0</v>
      </c>
      <c r="AE27" s="138">
        <v>0</v>
      </c>
      <c r="AF27" s="175"/>
      <c r="AG27" s="175"/>
      <c r="AH27" s="298"/>
    </row>
    <row r="28" spans="1:34" s="48" customFormat="1" ht="18" customHeight="1" x14ac:dyDescent="0.25">
      <c r="A28" s="135"/>
      <c r="B28" s="136" t="s">
        <v>270</v>
      </c>
      <c r="C28" s="135" t="s">
        <v>5</v>
      </c>
      <c r="D28" s="135" t="s">
        <v>5</v>
      </c>
      <c r="E28" s="194">
        <v>0</v>
      </c>
      <c r="F28" s="194">
        <v>0</v>
      </c>
      <c r="G28" s="138">
        <v>0</v>
      </c>
      <c r="H28" s="138">
        <v>0</v>
      </c>
      <c r="I28" s="138">
        <f>$F$28+$G$28+$H$28</f>
        <v>0</v>
      </c>
      <c r="J28" s="139">
        <f>IFERROR($I$28/'Table I'!$E$12*100,0)</f>
        <v>0</v>
      </c>
      <c r="K28" s="138">
        <f>$I$28</f>
        <v>0</v>
      </c>
      <c r="L28" s="138">
        <v>0</v>
      </c>
      <c r="M28" s="138">
        <f>$K$28+$L$28</f>
        <v>0</v>
      </c>
      <c r="N28" s="139">
        <f>IFERROR($M$28/'Table I'!$E$12*100,0)</f>
        <v>0</v>
      </c>
      <c r="O28" s="138">
        <v>0</v>
      </c>
      <c r="P28" s="138">
        <v>0</v>
      </c>
      <c r="Q28" s="138">
        <v>0</v>
      </c>
      <c r="R28" s="138">
        <f>$O$28+$P$28+$Q$28</f>
        <v>0</v>
      </c>
      <c r="S28" s="138">
        <f>$R$28+$I$28</f>
        <v>0</v>
      </c>
      <c r="T28" s="139">
        <f>IFERROR(($S$28/'Table I'!$R$12*100),0)</f>
        <v>0</v>
      </c>
      <c r="U28" s="194">
        <v>0</v>
      </c>
      <c r="V28" s="139">
        <f>IFERROR($U$28/$F$28*100,0)</f>
        <v>0</v>
      </c>
      <c r="W28" s="137">
        <v>0</v>
      </c>
      <c r="X28" s="139">
        <f>IFERROR(($W$28/$F$28*100),0)</f>
        <v>0</v>
      </c>
      <c r="Y28" s="137">
        <v>0</v>
      </c>
      <c r="Z28" s="139">
        <f>IFERROR(($Y$28/$F$28*100),0)</f>
        <v>0</v>
      </c>
      <c r="AA28" s="137">
        <v>0</v>
      </c>
      <c r="AB28" s="139">
        <f>IFERROR(($AA$28/$F$28*100),0)</f>
        <v>0</v>
      </c>
      <c r="AC28" s="137">
        <f>$W$28+$Y$28+$AA$28</f>
        <v>0</v>
      </c>
      <c r="AD28" s="139">
        <f>IFERROR(($AC$28/$F$28*100),0)</f>
        <v>0</v>
      </c>
      <c r="AE28" s="138">
        <v>0</v>
      </c>
      <c r="AF28" s="175"/>
      <c r="AG28" s="175"/>
      <c r="AH28" s="298"/>
    </row>
    <row r="29" spans="1:34" s="48" customFormat="1" ht="18" customHeight="1" x14ac:dyDescent="0.25">
      <c r="A29" s="135"/>
      <c r="B29" s="136" t="s">
        <v>258</v>
      </c>
      <c r="C29" s="135" t="s">
        <v>5</v>
      </c>
      <c r="D29" s="135" t="s">
        <v>5</v>
      </c>
      <c r="E29" s="194">
        <v>0</v>
      </c>
      <c r="F29" s="194">
        <v>0</v>
      </c>
      <c r="G29" s="138">
        <v>0</v>
      </c>
      <c r="H29" s="138">
        <v>0</v>
      </c>
      <c r="I29" s="138">
        <f>$F$29+$G$29+$H$29</f>
        <v>0</v>
      </c>
      <c r="J29" s="139">
        <f>IFERROR($I$29/'Table I'!$E$12*100,0)</f>
        <v>0</v>
      </c>
      <c r="K29" s="138">
        <f>$I$29</f>
        <v>0</v>
      </c>
      <c r="L29" s="138">
        <v>0</v>
      </c>
      <c r="M29" s="138">
        <f>$K$29+$L$29</f>
        <v>0</v>
      </c>
      <c r="N29" s="139">
        <f>IFERROR($M$29/'Table I'!$E$12*100,0)</f>
        <v>0</v>
      </c>
      <c r="O29" s="138">
        <v>0</v>
      </c>
      <c r="P29" s="138">
        <v>0</v>
      </c>
      <c r="Q29" s="138">
        <v>0</v>
      </c>
      <c r="R29" s="138">
        <f>$O$29+$P$29+$Q$29</f>
        <v>0</v>
      </c>
      <c r="S29" s="138">
        <f>$R$29+$I$29</f>
        <v>0</v>
      </c>
      <c r="T29" s="139">
        <f>IFERROR(($S$29/'Table I'!$R$12*100),0)</f>
        <v>0</v>
      </c>
      <c r="U29" s="194">
        <v>0</v>
      </c>
      <c r="V29" s="139">
        <f>IFERROR($U$29/$F$29*100,0)</f>
        <v>0</v>
      </c>
      <c r="W29" s="137">
        <v>0</v>
      </c>
      <c r="X29" s="139">
        <f>IFERROR(($W$29/$F$29*100),0)</f>
        <v>0</v>
      </c>
      <c r="Y29" s="137">
        <v>0</v>
      </c>
      <c r="Z29" s="139">
        <f>IFERROR(($Y$29/$F$29*100),0)</f>
        <v>0</v>
      </c>
      <c r="AA29" s="137">
        <v>0</v>
      </c>
      <c r="AB29" s="139">
        <f>IFERROR(($AA$29/$F$29*100),0)</f>
        <v>0</v>
      </c>
      <c r="AC29" s="137">
        <f>$W$29+$Y$29+$AA$29</f>
        <v>0</v>
      </c>
      <c r="AD29" s="139">
        <f>IFERROR(($AC$29/$F$29*100),0)</f>
        <v>0</v>
      </c>
      <c r="AE29" s="138">
        <v>0</v>
      </c>
      <c r="AF29" s="175"/>
      <c r="AG29" s="175"/>
      <c r="AH29" s="298"/>
    </row>
    <row r="30" spans="1:34" s="48" customFormat="1" ht="18" customHeight="1" x14ac:dyDescent="0.25">
      <c r="A30" s="135"/>
      <c r="B30" s="136" t="s">
        <v>243</v>
      </c>
      <c r="C30" s="135" t="s">
        <v>5</v>
      </c>
      <c r="D30" s="135" t="s">
        <v>5</v>
      </c>
      <c r="E30" s="194">
        <v>0</v>
      </c>
      <c r="F30" s="194">
        <v>0</v>
      </c>
      <c r="G30" s="138">
        <v>0</v>
      </c>
      <c r="H30" s="138">
        <v>0</v>
      </c>
      <c r="I30" s="138">
        <f>$F$30+$G$30+$H$30</f>
        <v>0</v>
      </c>
      <c r="J30" s="139">
        <f>IFERROR($I$30/'Table I'!$E$12*100,0)</f>
        <v>0</v>
      </c>
      <c r="K30" s="138">
        <f>$I$30</f>
        <v>0</v>
      </c>
      <c r="L30" s="138">
        <v>0</v>
      </c>
      <c r="M30" s="138">
        <f>$K$30+$L$30</f>
        <v>0</v>
      </c>
      <c r="N30" s="139">
        <f>IFERROR($M$30/'Table I'!$E$12*100,0)</f>
        <v>0</v>
      </c>
      <c r="O30" s="138">
        <v>0</v>
      </c>
      <c r="P30" s="138">
        <v>0</v>
      </c>
      <c r="Q30" s="138">
        <v>0</v>
      </c>
      <c r="R30" s="138">
        <f>$O$30+$P$30+$Q$30</f>
        <v>0</v>
      </c>
      <c r="S30" s="138">
        <f>$R$30+$I$30</f>
        <v>0</v>
      </c>
      <c r="T30" s="139">
        <f>IFERROR(($S$30/'Table I'!$R$12*100),0)</f>
        <v>0</v>
      </c>
      <c r="U30" s="194">
        <v>0</v>
      </c>
      <c r="V30" s="139">
        <f>IFERROR($U$30/$F$30*100,0)</f>
        <v>0</v>
      </c>
      <c r="W30" s="137">
        <v>0</v>
      </c>
      <c r="X30" s="139">
        <f>IFERROR(($W$30/$F$30*100),0)</f>
        <v>0</v>
      </c>
      <c r="Y30" s="137">
        <v>0</v>
      </c>
      <c r="Z30" s="139">
        <f>IFERROR(($Y$30/$F$30*100),0)</f>
        <v>0</v>
      </c>
      <c r="AA30" s="137">
        <v>0</v>
      </c>
      <c r="AB30" s="139">
        <f>IFERROR(($AA$30/$F$30*100),0)</f>
        <v>0</v>
      </c>
      <c r="AC30" s="137">
        <f>$W$30+$Y$30+$AA$30</f>
        <v>0</v>
      </c>
      <c r="AD30" s="139">
        <f>IFERROR(($AC$30/$F$30*100),0)</f>
        <v>0</v>
      </c>
      <c r="AE30" s="138">
        <v>0</v>
      </c>
      <c r="AF30" s="175"/>
      <c r="AG30" s="175"/>
      <c r="AH30" s="298"/>
    </row>
    <row r="31" spans="1:34" s="48" customFormat="1" ht="18" customHeight="1" x14ac:dyDescent="0.25">
      <c r="A31" s="135"/>
      <c r="B31" s="136" t="s">
        <v>244</v>
      </c>
      <c r="C31" s="135" t="s">
        <v>5</v>
      </c>
      <c r="D31" s="135" t="s">
        <v>5</v>
      </c>
      <c r="E31" s="194">
        <v>0</v>
      </c>
      <c r="F31" s="194">
        <v>0</v>
      </c>
      <c r="G31" s="138">
        <v>0</v>
      </c>
      <c r="H31" s="138">
        <v>0</v>
      </c>
      <c r="I31" s="138">
        <f>$F$31+$G$31+$H$31</f>
        <v>0</v>
      </c>
      <c r="J31" s="139">
        <f>IFERROR($I$31/'Table I'!$E$12*100,0)</f>
        <v>0</v>
      </c>
      <c r="K31" s="138">
        <f>$I$31</f>
        <v>0</v>
      </c>
      <c r="L31" s="138">
        <v>0</v>
      </c>
      <c r="M31" s="138">
        <f>$K$31+$L$31</f>
        <v>0</v>
      </c>
      <c r="N31" s="139">
        <f>IFERROR($M$31/'Table I'!$E$12*100,0)</f>
        <v>0</v>
      </c>
      <c r="O31" s="138">
        <v>0</v>
      </c>
      <c r="P31" s="138">
        <v>0</v>
      </c>
      <c r="Q31" s="138">
        <v>0</v>
      </c>
      <c r="R31" s="138">
        <f>$O$31+$P$31+$Q$31</f>
        <v>0</v>
      </c>
      <c r="S31" s="138">
        <f>$R$31+$I$31</f>
        <v>0</v>
      </c>
      <c r="T31" s="139">
        <f>IFERROR(($S$31/'Table I'!$R$12*100),0)</f>
        <v>0</v>
      </c>
      <c r="U31" s="194">
        <v>0</v>
      </c>
      <c r="V31" s="139">
        <f>IFERROR($U$31/$F$31*100,0)</f>
        <v>0</v>
      </c>
      <c r="W31" s="137">
        <v>0</v>
      </c>
      <c r="X31" s="139">
        <f>IFERROR(($W$31/$F$31*100),0)</f>
        <v>0</v>
      </c>
      <c r="Y31" s="137">
        <v>0</v>
      </c>
      <c r="Z31" s="139">
        <f>IFERROR(($Y$31/$F$31*100),0)</f>
        <v>0</v>
      </c>
      <c r="AA31" s="137">
        <v>0</v>
      </c>
      <c r="AB31" s="139">
        <f>IFERROR(($AA$31/$F$31*100),0)</f>
        <v>0</v>
      </c>
      <c r="AC31" s="137">
        <f>$W$31+$Y$31+$AA$31</f>
        <v>0</v>
      </c>
      <c r="AD31" s="139">
        <f>IFERROR(($AC$31/$F$31*100),0)</f>
        <v>0</v>
      </c>
      <c r="AE31" s="138">
        <v>0</v>
      </c>
      <c r="AF31" s="175"/>
      <c r="AG31" s="175"/>
      <c r="AH31" s="298"/>
    </row>
    <row r="32" spans="1:34" s="48" customFormat="1" ht="18" customHeight="1" x14ac:dyDescent="0.25">
      <c r="A32" s="135"/>
      <c r="B32" s="136" t="s">
        <v>246</v>
      </c>
      <c r="C32" s="135" t="s">
        <v>5</v>
      </c>
      <c r="D32" s="135" t="s">
        <v>5</v>
      </c>
      <c r="E32" s="194">
        <v>0</v>
      </c>
      <c r="F32" s="194">
        <v>0</v>
      </c>
      <c r="G32" s="138">
        <v>0</v>
      </c>
      <c r="H32" s="138">
        <v>0</v>
      </c>
      <c r="I32" s="138">
        <f>$F$32+$G$32+$H$32</f>
        <v>0</v>
      </c>
      <c r="J32" s="139">
        <f>IFERROR($I$32/'Table I'!$E$12*100,0)</f>
        <v>0</v>
      </c>
      <c r="K32" s="138">
        <f>$I$32</f>
        <v>0</v>
      </c>
      <c r="L32" s="138">
        <v>0</v>
      </c>
      <c r="M32" s="138">
        <f>$K$32+$L$32</f>
        <v>0</v>
      </c>
      <c r="N32" s="139">
        <f>IFERROR($M$32/'Table I'!$E$12*100,0)</f>
        <v>0</v>
      </c>
      <c r="O32" s="138">
        <v>0</v>
      </c>
      <c r="P32" s="138">
        <v>0</v>
      </c>
      <c r="Q32" s="138">
        <v>0</v>
      </c>
      <c r="R32" s="138">
        <f>$O$32+$P$32+$Q$32</f>
        <v>0</v>
      </c>
      <c r="S32" s="138">
        <f>$R$32+$I$32</f>
        <v>0</v>
      </c>
      <c r="T32" s="139">
        <f>IFERROR(($S$32/'Table I'!$R$12*100),0)</f>
        <v>0</v>
      </c>
      <c r="U32" s="194">
        <v>0</v>
      </c>
      <c r="V32" s="139">
        <f>IFERROR($U$32/$F$32*100,0)</f>
        <v>0</v>
      </c>
      <c r="W32" s="137">
        <v>0</v>
      </c>
      <c r="X32" s="139">
        <f>IFERROR(($W$32/$F$32*100),0)</f>
        <v>0</v>
      </c>
      <c r="Y32" s="137">
        <v>0</v>
      </c>
      <c r="Z32" s="139">
        <f>IFERROR(($Y$32/$F$32*100),0)</f>
        <v>0</v>
      </c>
      <c r="AA32" s="137">
        <v>0</v>
      </c>
      <c r="AB32" s="139">
        <f>IFERROR(($AA$32/$F$32*100),0)</f>
        <v>0</v>
      </c>
      <c r="AC32" s="137">
        <f>$W$32+$Y$32+$AA$32</f>
        <v>0</v>
      </c>
      <c r="AD32" s="139">
        <f>IFERROR(($AC$32/$F$32*100),0)</f>
        <v>0</v>
      </c>
      <c r="AE32" s="138">
        <v>0</v>
      </c>
      <c r="AF32" s="175"/>
      <c r="AG32" s="175"/>
      <c r="AH32" s="298"/>
    </row>
    <row r="33" spans="1:34" s="48" customFormat="1" ht="18" customHeight="1" x14ac:dyDescent="0.25">
      <c r="A33" s="135"/>
      <c r="B33" s="136" t="s">
        <v>256</v>
      </c>
      <c r="C33" s="135" t="s">
        <v>5</v>
      </c>
      <c r="D33" s="135" t="s">
        <v>5</v>
      </c>
      <c r="E33" s="194">
        <v>0</v>
      </c>
      <c r="F33" s="194">
        <v>0</v>
      </c>
      <c r="G33" s="138">
        <v>0</v>
      </c>
      <c r="H33" s="138">
        <v>0</v>
      </c>
      <c r="I33" s="138">
        <f>$F$33+$G$33+$H$33</f>
        <v>0</v>
      </c>
      <c r="J33" s="139">
        <f>IFERROR($I$33/'Table I'!$E$12*100,0)</f>
        <v>0</v>
      </c>
      <c r="K33" s="138">
        <f>$I$33</f>
        <v>0</v>
      </c>
      <c r="L33" s="138">
        <v>0</v>
      </c>
      <c r="M33" s="138">
        <f>$K$33+$L$33</f>
        <v>0</v>
      </c>
      <c r="N33" s="139">
        <f>IFERROR($M$33/'Table I'!$E$12*100,0)</f>
        <v>0</v>
      </c>
      <c r="O33" s="138">
        <v>0</v>
      </c>
      <c r="P33" s="138">
        <v>0</v>
      </c>
      <c r="Q33" s="138">
        <v>0</v>
      </c>
      <c r="R33" s="138">
        <f>$O$33+$P$33+$Q$33</f>
        <v>0</v>
      </c>
      <c r="S33" s="138">
        <f>$R$33+$I$33</f>
        <v>0</v>
      </c>
      <c r="T33" s="139">
        <f>IFERROR(($S$33/'Table I'!$R$12*100),0)</f>
        <v>0</v>
      </c>
      <c r="U33" s="194">
        <v>0</v>
      </c>
      <c r="V33" s="139">
        <f>IFERROR($U$33/$F$33*100,0)</f>
        <v>0</v>
      </c>
      <c r="W33" s="137">
        <v>0</v>
      </c>
      <c r="X33" s="139">
        <f>IFERROR(($W$33/$F$33*100),0)</f>
        <v>0</v>
      </c>
      <c r="Y33" s="137">
        <v>0</v>
      </c>
      <c r="Z33" s="139">
        <f>IFERROR(($Y$33/$F$33*100),0)</f>
        <v>0</v>
      </c>
      <c r="AA33" s="137">
        <v>0</v>
      </c>
      <c r="AB33" s="139">
        <f>IFERROR(($AA$33/$F$33*100),0)</f>
        <v>0</v>
      </c>
      <c r="AC33" s="137">
        <f>$W$33+$Y$33+$AA$33</f>
        <v>0</v>
      </c>
      <c r="AD33" s="139">
        <f>IFERROR(($AC$33/$F$33*100),0)</f>
        <v>0</v>
      </c>
      <c r="AE33" s="138">
        <v>0</v>
      </c>
      <c r="AF33" s="175"/>
      <c r="AG33" s="175"/>
      <c r="AH33" s="298"/>
    </row>
    <row r="34" spans="1:34" s="48" customFormat="1" ht="18" customHeight="1" x14ac:dyDescent="0.25">
      <c r="A34" s="135"/>
      <c r="B34" s="136" t="s">
        <v>257</v>
      </c>
      <c r="C34" s="135" t="s">
        <v>5</v>
      </c>
      <c r="D34" s="135" t="s">
        <v>5</v>
      </c>
      <c r="E34" s="194">
        <v>0</v>
      </c>
      <c r="F34" s="194">
        <v>0</v>
      </c>
      <c r="G34" s="138">
        <v>0</v>
      </c>
      <c r="H34" s="138">
        <v>0</v>
      </c>
      <c r="I34" s="138">
        <f>$F$34+$G$34+$H$34</f>
        <v>0</v>
      </c>
      <c r="J34" s="139">
        <f>IFERROR($I$34/'Table I'!$E$12*100,0)</f>
        <v>0</v>
      </c>
      <c r="K34" s="138">
        <f>$I$34</f>
        <v>0</v>
      </c>
      <c r="L34" s="138">
        <v>0</v>
      </c>
      <c r="M34" s="138">
        <f>$K$34+$L$34</f>
        <v>0</v>
      </c>
      <c r="N34" s="139">
        <f>IFERROR($M$34/'Table I'!$E$12*100,0)</f>
        <v>0</v>
      </c>
      <c r="O34" s="138">
        <v>0</v>
      </c>
      <c r="P34" s="138">
        <v>0</v>
      </c>
      <c r="Q34" s="138">
        <v>0</v>
      </c>
      <c r="R34" s="138">
        <f>$O$34+$P$34+$Q$34</f>
        <v>0</v>
      </c>
      <c r="S34" s="138">
        <f>$R$34+$I$34</f>
        <v>0</v>
      </c>
      <c r="T34" s="139">
        <f>IFERROR(($S$34/'Table I'!$R$12*100),0)</f>
        <v>0</v>
      </c>
      <c r="U34" s="194">
        <v>0</v>
      </c>
      <c r="V34" s="139">
        <f>IFERROR($U$34/$F$34*100,0)</f>
        <v>0</v>
      </c>
      <c r="W34" s="137">
        <v>0</v>
      </c>
      <c r="X34" s="139">
        <f>IFERROR(($W$34/$F$34*100),0)</f>
        <v>0</v>
      </c>
      <c r="Y34" s="137">
        <v>0</v>
      </c>
      <c r="Z34" s="139">
        <f>IFERROR(($Y$34/$F$34*100),0)</f>
        <v>0</v>
      </c>
      <c r="AA34" s="137">
        <v>0</v>
      </c>
      <c r="AB34" s="139">
        <f>IFERROR(($AA$34/$F$34*100),0)</f>
        <v>0</v>
      </c>
      <c r="AC34" s="137">
        <f>$W$34+$Y$34+$AA$34</f>
        <v>0</v>
      </c>
      <c r="AD34" s="139">
        <f>IFERROR(($AC$34/$F$34*100),0)</f>
        <v>0</v>
      </c>
      <c r="AE34" s="138">
        <v>0</v>
      </c>
      <c r="AF34" s="175"/>
      <c r="AG34" s="175"/>
      <c r="AH34" s="298"/>
    </row>
    <row r="35" spans="1:34" s="48" customFormat="1" ht="26.25" customHeight="1" x14ac:dyDescent="0.25">
      <c r="A35" s="282"/>
      <c r="B35" s="283" t="s">
        <v>62</v>
      </c>
      <c r="C35" s="282" t="s">
        <v>5</v>
      </c>
      <c r="D35" s="282" t="s">
        <v>5</v>
      </c>
      <c r="E35" s="284">
        <f>$E$24+$E$23+$E$22+$E$21+$E$20</f>
        <v>0</v>
      </c>
      <c r="F35" s="284">
        <f>$F$24+$F$23+$F$22+$F$21+$F$20</f>
        <v>0</v>
      </c>
      <c r="G35" s="284">
        <f>$G$20+$G$21+$G$22+$G$23+$G$24</f>
        <v>0</v>
      </c>
      <c r="H35" s="284">
        <f>$H$20+$H$21+$H$22+$H$23+$H$24</f>
        <v>0</v>
      </c>
      <c r="I35" s="284">
        <f>$F$35+$G$35+$H$35</f>
        <v>0</v>
      </c>
      <c r="J35" s="285">
        <f>IFERROR($I$35/'Table I'!$E$12*100,0)</f>
        <v>0</v>
      </c>
      <c r="K35" s="286">
        <f>$I$35</f>
        <v>0</v>
      </c>
      <c r="L35" s="284">
        <v>0</v>
      </c>
      <c r="M35" s="286">
        <f>$K$35+$L$35</f>
        <v>0</v>
      </c>
      <c r="N35" s="285">
        <f>IFERROR($M$35/'Table I'!$E$12*100,0)</f>
        <v>0</v>
      </c>
      <c r="O35" s="284">
        <f>$O$20+$O$21+$O$22+$O$23+$O$24</f>
        <v>0</v>
      </c>
      <c r="P35" s="284">
        <f>$P$20+$P$21+$P$22+$P$23+$P$24</f>
        <v>0</v>
      </c>
      <c r="Q35" s="284">
        <f>$Q$20+$Q$21+$Q$22+$Q$23+$Q$24</f>
        <v>0</v>
      </c>
      <c r="R35" s="286">
        <f>$O$35+$P$35+$Q$35</f>
        <v>0</v>
      </c>
      <c r="S35" s="286">
        <f>$R$35+$I$35</f>
        <v>0</v>
      </c>
      <c r="T35" s="287">
        <f>IFERROR(($S$35/'Table I'!$R$12*100),0)</f>
        <v>0</v>
      </c>
      <c r="U35" s="284">
        <f>$U$24+$U$23+$U$22+$U$21+$U$20</f>
        <v>0</v>
      </c>
      <c r="V35" s="285">
        <f>IFERROR($U$35/$F$35*100,0)</f>
        <v>0</v>
      </c>
      <c r="W35" s="284">
        <f>$W$20+$W$21+$W$22+$W$23+$W$24</f>
        <v>0</v>
      </c>
      <c r="X35" s="287">
        <f>IFERROR(($W$35/$F$35*100),0)</f>
        <v>0</v>
      </c>
      <c r="Y35" s="284">
        <f>$Y$20+$Y$21+$Y$22+$Y$23+$Y$24</f>
        <v>0</v>
      </c>
      <c r="Z35" s="287">
        <f>IFERROR(($Y$35/$F$35*100),0)</f>
        <v>0</v>
      </c>
      <c r="AA35" s="284">
        <f>$AA$20+$AA$21+$AA$22+$AA$23+$AA$24</f>
        <v>0</v>
      </c>
      <c r="AB35" s="287">
        <f>IFERROR(($AA$35/$F$35*100),0)</f>
        <v>0</v>
      </c>
      <c r="AC35" s="288">
        <f>$W$35+$Y$35+$AA$35</f>
        <v>0</v>
      </c>
      <c r="AD35" s="287">
        <f>IFERROR(($AC$35/$F$35*100),0)</f>
        <v>0</v>
      </c>
      <c r="AE35" s="302">
        <f>$AE$24+$AE$23+$AE$22+$AE$21+$AE$20</f>
        <v>0</v>
      </c>
      <c r="AF35" s="176"/>
      <c r="AG35" s="176"/>
      <c r="AH35" s="184"/>
    </row>
    <row r="36" spans="1:34" s="48" customFormat="1" ht="40.5" customHeight="1" x14ac:dyDescent="0.25">
      <c r="A36" s="290"/>
      <c r="B36" s="291" t="s">
        <v>63</v>
      </c>
      <c r="C36" s="290" t="s">
        <v>5</v>
      </c>
      <c r="D36" s="290" t="s">
        <v>5</v>
      </c>
      <c r="E36" s="292">
        <f>$E$35+$E$18</f>
        <v>0</v>
      </c>
      <c r="F36" s="292">
        <f>$F$35+$F$18</f>
        <v>0</v>
      </c>
      <c r="G36" s="292">
        <f>$G$35+$G$18</f>
        <v>0</v>
      </c>
      <c r="H36" s="292">
        <f>$H$35+$H$18</f>
        <v>0</v>
      </c>
      <c r="I36" s="292">
        <f>$H$36+$G$36+$F$36</f>
        <v>0</v>
      </c>
      <c r="J36" s="293">
        <f>IFERROR($I$36/'Table I'!$E$12*100,0)</f>
        <v>0</v>
      </c>
      <c r="K36" s="294">
        <f>$I$36</f>
        <v>0</v>
      </c>
      <c r="L36" s="292">
        <v>0</v>
      </c>
      <c r="M36" s="294">
        <f>$K$36+$L$36</f>
        <v>0</v>
      </c>
      <c r="N36" s="293">
        <f>IFERROR($M$36/'Table I'!$E$12*100,0)</f>
        <v>0</v>
      </c>
      <c r="O36" s="292">
        <f>$O$18+$O$35</f>
        <v>0</v>
      </c>
      <c r="P36" s="292">
        <f>$P$18+$P$35</f>
        <v>0</v>
      </c>
      <c r="Q36" s="292">
        <f>$Q$18+$Q$35</f>
        <v>0</v>
      </c>
      <c r="R36" s="294">
        <f>$O$36+$P$36+$Q$36</f>
        <v>0</v>
      </c>
      <c r="S36" s="294">
        <f>$R$36+$I$36</f>
        <v>0</v>
      </c>
      <c r="T36" s="295">
        <f>IFERROR(($S$36/'Table I'!$R$12*100),0)</f>
        <v>0</v>
      </c>
      <c r="U36" s="292">
        <f>$U$35+$U$18</f>
        <v>0</v>
      </c>
      <c r="V36" s="293">
        <f>IFERROR($U$36/$F$36*100,0)</f>
        <v>0</v>
      </c>
      <c r="W36" s="292">
        <f>$W$35+$W$18</f>
        <v>0</v>
      </c>
      <c r="X36" s="295">
        <f>IFERROR(($W$36/$F$36*100),0)</f>
        <v>0</v>
      </c>
      <c r="Y36" s="292">
        <f>$Y$35+$Y$18</f>
        <v>0</v>
      </c>
      <c r="Z36" s="295">
        <f>IFERROR(($Y$36/$F$36*100),0)</f>
        <v>0</v>
      </c>
      <c r="AA36" s="292">
        <f>$AA$35+$AA$18</f>
        <v>0</v>
      </c>
      <c r="AB36" s="295">
        <f>IFERROR(($AA$36/$F$36*100),0)</f>
        <v>0</v>
      </c>
      <c r="AC36" s="296">
        <f>$W$36+$Y$36+$AA$36</f>
        <v>0</v>
      </c>
      <c r="AD36" s="295">
        <f>IFERROR(($AC$36/$F$36*100),0)</f>
        <v>0</v>
      </c>
      <c r="AE36" s="297">
        <f>$AE$35+$AE$18</f>
        <v>0</v>
      </c>
      <c r="AF36" s="185"/>
      <c r="AG36" s="186"/>
      <c r="AH36" s="187"/>
    </row>
    <row r="37" spans="1:34" x14ac:dyDescent="0.25">
      <c r="A37" s="16"/>
      <c r="B37" s="40"/>
      <c r="C37" s="40"/>
      <c r="D37" s="40"/>
      <c r="E37" s="40"/>
      <c r="F37" s="40"/>
      <c r="G37" s="40"/>
      <c r="H37" s="40"/>
      <c r="I37" s="40"/>
      <c r="J37" s="41"/>
      <c r="K37" s="40"/>
      <c r="L37" s="40"/>
      <c r="M37" s="40"/>
      <c r="N37" s="41"/>
      <c r="O37" s="40"/>
      <c r="P37" s="40"/>
      <c r="Q37" s="40"/>
      <c r="R37" s="40"/>
      <c r="S37" s="40"/>
      <c r="T37" s="41"/>
      <c r="U37" s="40"/>
      <c r="V37" s="41"/>
      <c r="W37" s="40"/>
      <c r="X37" s="41"/>
      <c r="Y37" s="40"/>
      <c r="Z37" s="41"/>
      <c r="AA37" s="40"/>
      <c r="AB37" s="41"/>
      <c r="AC37" s="40"/>
      <c r="AD37" s="41"/>
      <c r="AE37" s="40"/>
      <c r="AF37" s="40"/>
      <c r="AG37" s="40"/>
      <c r="AH37" s="40"/>
    </row>
    <row r="38" spans="1:34" ht="15" customHeight="1" x14ac:dyDescent="0.25">
      <c r="A38" s="197" t="s">
        <v>64</v>
      </c>
      <c r="B38" s="197"/>
      <c r="C38" s="197"/>
      <c r="D38" s="197"/>
      <c r="E38" s="197"/>
      <c r="F38" s="197"/>
      <c r="G38" s="197"/>
      <c r="H38" s="197"/>
      <c r="I38" s="197"/>
      <c r="J38" s="197"/>
      <c r="K38" s="197"/>
      <c r="L38" s="197"/>
      <c r="M38" s="197"/>
      <c r="N38" s="197"/>
      <c r="O38" s="197"/>
      <c r="P38" s="197"/>
      <c r="Q38" s="197"/>
      <c r="R38" s="197"/>
      <c r="S38" s="197"/>
      <c r="T38" s="197"/>
      <c r="U38" s="197"/>
      <c r="V38" s="197"/>
      <c r="W38" s="197"/>
      <c r="X38" s="197"/>
      <c r="Y38" s="197"/>
      <c r="Z38" s="197"/>
      <c r="AA38" s="197"/>
      <c r="AB38" s="197"/>
      <c r="AC38" s="197"/>
      <c r="AD38" s="197"/>
      <c r="AE38" s="197"/>
      <c r="AF38" s="42"/>
      <c r="AG38" s="42"/>
      <c r="AH38" s="42"/>
    </row>
    <row r="39" spans="1:34" ht="9" customHeight="1" x14ac:dyDescent="0.25">
      <c r="A39" s="42"/>
      <c r="B39" s="42"/>
      <c r="C39" s="42"/>
      <c r="D39" s="42"/>
      <c r="E39" s="42"/>
      <c r="F39" s="42"/>
      <c r="G39" s="42"/>
      <c r="H39" s="42"/>
      <c r="I39" s="42"/>
      <c r="J39" s="43"/>
      <c r="K39" s="42"/>
      <c r="L39" s="42"/>
      <c r="M39" s="42"/>
      <c r="N39" s="43"/>
      <c r="O39" s="42"/>
      <c r="P39" s="42"/>
      <c r="Q39" s="42"/>
      <c r="R39" s="42"/>
      <c r="S39" s="42"/>
      <c r="T39" s="43"/>
      <c r="U39" s="42"/>
      <c r="V39" s="42"/>
      <c r="W39" s="42"/>
      <c r="X39" s="42"/>
      <c r="Y39" s="42"/>
      <c r="Z39" s="42"/>
      <c r="AA39" s="42"/>
      <c r="AB39" s="42"/>
      <c r="AC39" s="42"/>
      <c r="AD39" s="42"/>
      <c r="AE39" s="42"/>
      <c r="AF39" s="42"/>
      <c r="AG39" s="42"/>
      <c r="AH39" s="42"/>
    </row>
    <row r="40" spans="1:34" x14ac:dyDescent="0.25">
      <c r="A40" s="16" t="s">
        <v>65</v>
      </c>
      <c r="B40" s="40"/>
      <c r="C40" s="40"/>
      <c r="D40" s="40"/>
      <c r="E40" s="40"/>
      <c r="F40" s="40"/>
      <c r="G40" s="40"/>
      <c r="H40" s="40"/>
      <c r="I40" s="40"/>
      <c r="J40" s="41"/>
      <c r="K40" s="40"/>
      <c r="L40" s="40"/>
      <c r="M40" s="40"/>
      <c r="N40" s="41"/>
      <c r="O40" s="40"/>
      <c r="P40" s="40"/>
      <c r="Q40" s="40"/>
      <c r="R40" s="40"/>
      <c r="S40" s="40"/>
      <c r="T40" s="41"/>
      <c r="U40" s="40"/>
      <c r="V40" s="41"/>
      <c r="W40" s="40"/>
      <c r="X40" s="41"/>
      <c r="Y40" s="40"/>
      <c r="Z40" s="41"/>
      <c r="AA40" s="40"/>
      <c r="AB40" s="41"/>
      <c r="AC40" s="40"/>
      <c r="AD40" s="41"/>
      <c r="AE40" s="40"/>
      <c r="AF40" s="40"/>
      <c r="AG40" s="40"/>
      <c r="AH40" s="40"/>
    </row>
    <row r="41" spans="1:34" x14ac:dyDescent="0.25">
      <c r="A41" s="16">
        <v>1</v>
      </c>
      <c r="B41" s="44" t="s">
        <v>66</v>
      </c>
      <c r="C41" s="40"/>
      <c r="D41" s="40"/>
      <c r="E41" s="40"/>
      <c r="F41" s="40"/>
      <c r="G41" s="40"/>
      <c r="H41" s="40"/>
      <c r="I41" s="40"/>
      <c r="J41" s="41"/>
      <c r="K41" s="40"/>
      <c r="L41" s="40"/>
      <c r="M41" s="40"/>
      <c r="N41" s="41"/>
      <c r="O41" s="40"/>
      <c r="P41" s="40"/>
      <c r="Q41" s="40"/>
      <c r="R41" s="40"/>
      <c r="S41" s="40"/>
      <c r="T41" s="41"/>
      <c r="U41" s="40"/>
      <c r="V41" s="41"/>
      <c r="W41" s="40"/>
      <c r="X41" s="41"/>
      <c r="Y41" s="40"/>
      <c r="Z41" s="41"/>
      <c r="AA41" s="40"/>
      <c r="AB41" s="41"/>
      <c r="AC41" s="40"/>
      <c r="AD41" s="41"/>
      <c r="AE41" s="40"/>
      <c r="AF41" s="40"/>
      <c r="AG41" s="40"/>
      <c r="AH41" s="40"/>
    </row>
    <row r="42" spans="1:34" x14ac:dyDescent="0.25">
      <c r="A42" s="16">
        <v>2</v>
      </c>
      <c r="B42" s="44" t="s">
        <v>67</v>
      </c>
      <c r="C42" s="40"/>
      <c r="D42" s="40"/>
      <c r="E42" s="40"/>
      <c r="F42" s="40"/>
      <c r="G42" s="40"/>
      <c r="H42" s="40"/>
      <c r="I42" s="40"/>
      <c r="J42" s="41"/>
      <c r="K42" s="40"/>
      <c r="L42" s="40"/>
      <c r="M42" s="40"/>
      <c r="N42" s="41"/>
      <c r="O42" s="40"/>
      <c r="P42" s="40"/>
      <c r="Q42" s="40"/>
      <c r="R42" s="40"/>
      <c r="S42" s="40"/>
      <c r="T42" s="41"/>
      <c r="U42" s="40"/>
      <c r="V42" s="41"/>
      <c r="W42" s="40"/>
      <c r="X42" s="41"/>
      <c r="Y42" s="40"/>
      <c r="Z42" s="41"/>
      <c r="AA42" s="40"/>
      <c r="AB42" s="41"/>
      <c r="AC42" s="40"/>
      <c r="AD42" s="41"/>
      <c r="AE42" s="40"/>
      <c r="AF42" s="40"/>
      <c r="AG42" s="40"/>
      <c r="AH42" s="40"/>
    </row>
    <row r="43" spans="1:34" x14ac:dyDescent="0.25">
      <c r="A43" s="16">
        <v>3</v>
      </c>
      <c r="B43" s="44" t="s">
        <v>68</v>
      </c>
      <c r="C43" s="40"/>
      <c r="D43" s="40"/>
      <c r="E43" s="40"/>
      <c r="F43" s="40"/>
      <c r="G43" s="40"/>
      <c r="H43" s="40"/>
      <c r="I43" s="40"/>
      <c r="J43" s="41"/>
      <c r="K43" s="40"/>
      <c r="L43" s="40"/>
      <c r="M43" s="40"/>
      <c r="N43" s="41"/>
      <c r="O43" s="40"/>
      <c r="P43" s="40"/>
      <c r="Q43" s="40"/>
      <c r="R43" s="40"/>
      <c r="S43" s="40"/>
      <c r="T43" s="41"/>
      <c r="U43" s="40"/>
      <c r="V43" s="41"/>
      <c r="W43" s="40"/>
      <c r="X43" s="41"/>
      <c r="Y43" s="40"/>
      <c r="Z43" s="41"/>
      <c r="AA43" s="40"/>
      <c r="AB43" s="41"/>
      <c r="AC43" s="40"/>
      <c r="AD43" s="41"/>
      <c r="AE43" s="40"/>
      <c r="AF43" s="40"/>
      <c r="AG43" s="40"/>
      <c r="AH43" s="40"/>
    </row>
  </sheetData>
  <mergeCells count="50">
    <mergeCell ref="U6:V6"/>
    <mergeCell ref="AC6:AD6"/>
    <mergeCell ref="AE3:AE5"/>
    <mergeCell ref="W3:X3"/>
    <mergeCell ref="W4:W5"/>
    <mergeCell ref="X4:X5"/>
    <mergeCell ref="AA3:AB3"/>
    <mergeCell ref="AA4:AA5"/>
    <mergeCell ref="AB4:AB5"/>
    <mergeCell ref="A2:AE2"/>
    <mergeCell ref="K6:N6"/>
    <mergeCell ref="I3:I5"/>
    <mergeCell ref="A3:A5"/>
    <mergeCell ref="B3:B5"/>
    <mergeCell ref="C3:C5"/>
    <mergeCell ref="D3:D5"/>
    <mergeCell ref="E3:E5"/>
    <mergeCell ref="F3:F5"/>
    <mergeCell ref="G3:G5"/>
    <mergeCell ref="H3:H5"/>
    <mergeCell ref="J3:J5"/>
    <mergeCell ref="K3:N3"/>
    <mergeCell ref="AC4:AC5"/>
    <mergeCell ref="AD4:AD5"/>
    <mergeCell ref="AC3:AD3"/>
    <mergeCell ref="K4:M4"/>
    <mergeCell ref="N4:N5"/>
    <mergeCell ref="S3:S5"/>
    <mergeCell ref="T3:T5"/>
    <mergeCell ref="U3:V3"/>
    <mergeCell ref="R3:R5"/>
    <mergeCell ref="O3:O5"/>
    <mergeCell ref="V4:V5"/>
    <mergeCell ref="U4:U5"/>
    <mergeCell ref="A1:AH1"/>
    <mergeCell ref="B19:AH19"/>
    <mergeCell ref="B7:AH7"/>
    <mergeCell ref="AF3:AH3"/>
    <mergeCell ref="AF4:AH4"/>
    <mergeCell ref="AF5:AF6"/>
    <mergeCell ref="AG5:AG6"/>
    <mergeCell ref="AH5:AH6"/>
    <mergeCell ref="W6:X6"/>
    <mergeCell ref="AA6:AB6"/>
    <mergeCell ref="Y3:Z3"/>
    <mergeCell ref="Y4:Y5"/>
    <mergeCell ref="Z4:Z5"/>
    <mergeCell ref="Y6:Z6"/>
    <mergeCell ref="Q3:Q5"/>
    <mergeCell ref="P3:P5"/>
  </mergeCells>
  <pageMargins left="7.874015748031496E-2" right="7.874015748031496E-2" top="7.874015748031496E-2" bottom="3.937007874015748E-2" header="0.31496062992125984" footer="0.31496062992125984"/>
  <pageSetup scale="2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G4"/>
  <sheetViews>
    <sheetView showGridLines="0" zoomScale="70" zoomScaleNormal="70" workbookViewId="0">
      <selection sqref="A1:G1"/>
    </sheetView>
  </sheetViews>
  <sheetFormatPr defaultColWidth="9.140625" defaultRowHeight="15.75" x14ac:dyDescent="0.25"/>
  <cols>
    <col min="1" max="1" width="9.140625" style="18"/>
    <col min="2" max="2" width="7.42578125" style="18" bestFit="1" customWidth="1"/>
    <col min="3" max="3" width="25.140625" style="18" bestFit="1" customWidth="1"/>
    <col min="4" max="4" width="56.42578125" style="18" bestFit="1" customWidth="1"/>
    <col min="5" max="5" width="29.85546875" style="18" bestFit="1" customWidth="1"/>
    <col min="6" max="6" width="70.7109375" style="18" bestFit="1" customWidth="1"/>
    <col min="7" max="16384" width="9.140625" style="18"/>
  </cols>
  <sheetData>
    <row r="1" spans="1:7" ht="39" customHeight="1" x14ac:dyDescent="0.25">
      <c r="A1" s="376" t="s">
        <v>196</v>
      </c>
      <c r="B1" s="376"/>
      <c r="C1" s="376"/>
      <c r="D1" s="376"/>
      <c r="E1" s="376"/>
      <c r="F1" s="376"/>
      <c r="G1" s="376"/>
    </row>
    <row r="2" spans="1:7" ht="17.25" customHeight="1" x14ac:dyDescent="0.25">
      <c r="B2" s="375"/>
      <c r="C2" s="375"/>
      <c r="D2" s="375"/>
      <c r="E2" s="375"/>
    </row>
    <row r="3" spans="1:7" ht="63" customHeight="1" x14ac:dyDescent="0.25">
      <c r="B3" s="32" t="s">
        <v>197</v>
      </c>
      <c r="C3" s="33" t="s">
        <v>198</v>
      </c>
      <c r="D3" s="32" t="s">
        <v>199</v>
      </c>
      <c r="E3" s="32" t="s">
        <v>200</v>
      </c>
      <c r="F3" s="32" t="s">
        <v>201</v>
      </c>
    </row>
    <row r="4" spans="1:7" s="17" customFormat="1" ht="24.75" customHeight="1" x14ac:dyDescent="0.25">
      <c r="B4" s="34">
        <v>1</v>
      </c>
      <c r="C4" s="35" t="s">
        <v>118</v>
      </c>
      <c r="D4" s="35" t="s">
        <v>118</v>
      </c>
      <c r="E4" s="35" t="s">
        <v>118</v>
      </c>
      <c r="F4" s="35" t="s">
        <v>118</v>
      </c>
    </row>
  </sheetData>
  <mergeCells count="2">
    <mergeCell ref="B2:E2"/>
    <mergeCell ref="A1:G1"/>
  </mergeCells>
  <pageMargins left="0.19685039370078741" right="0.19685039370078741" top="0.74803149606299213" bottom="0.74803149606299213" header="0.31496062992125984" footer="0.31496062992125984"/>
  <pageSetup scale="4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AG106"/>
  <sheetViews>
    <sheetView showGridLines="0" zoomScale="80" zoomScaleNormal="80" workbookViewId="0">
      <selection activeCell="AD72" sqref="AD72"/>
    </sheetView>
  </sheetViews>
  <sheetFormatPr defaultColWidth="9.140625" defaultRowHeight="15" x14ac:dyDescent="0.25"/>
  <cols>
    <col min="1" max="1" width="8.42578125" style="19" bestFit="1" customWidth="1"/>
    <col min="2" max="2" width="38" style="10" customWidth="1"/>
    <col min="3" max="3" width="17.140625" style="19" customWidth="1"/>
    <col min="4" max="5" width="16.42578125" style="19" customWidth="1"/>
    <col min="6" max="6" width="11.7109375" style="19" customWidth="1"/>
    <col min="7" max="7" width="13.28515625" style="19" customWidth="1"/>
    <col min="8" max="8" width="16.42578125" style="19" customWidth="1"/>
    <col min="9" max="9" width="12" style="20" customWidth="1"/>
    <col min="10" max="11" width="13.140625" style="19" customWidth="1"/>
    <col min="12" max="12" width="14.7109375" style="19" customWidth="1"/>
    <col min="13" max="13" width="9.85546875" style="19" customWidth="1"/>
    <col min="14" max="14" width="14.85546875" style="19" customWidth="1"/>
    <col min="15" max="15" width="15" style="19" customWidth="1"/>
    <col min="16" max="16" width="14.42578125" style="19" customWidth="1"/>
    <col min="17" max="18" width="15.42578125" style="19" customWidth="1"/>
    <col min="19" max="19" width="17.7109375" style="20" customWidth="1"/>
    <col min="20" max="20" width="16.42578125" style="19" customWidth="1"/>
    <col min="21" max="21" width="9.42578125" style="20" customWidth="1"/>
    <col min="22" max="22" width="11.42578125" style="19" customWidth="1"/>
    <col min="23" max="23" width="9.42578125" style="19" customWidth="1"/>
    <col min="24" max="24" width="11.42578125" style="19" customWidth="1"/>
    <col min="25" max="25" width="9.42578125" style="19" customWidth="1"/>
    <col min="26" max="26" width="11.42578125" style="19" customWidth="1"/>
    <col min="27" max="27" width="9.42578125" style="19" customWidth="1"/>
    <col min="28" max="28" width="11.42578125" style="19" customWidth="1"/>
    <col min="29" max="29" width="9.42578125" style="19" customWidth="1"/>
    <col min="30" max="30" width="16.42578125" style="19" customWidth="1"/>
    <col min="31" max="33" width="12.42578125" style="19" customWidth="1"/>
    <col min="34" max="16384" width="9.140625" style="19"/>
  </cols>
  <sheetData>
    <row r="1" spans="1:33" s="26" customFormat="1" ht="25.5" customHeight="1" x14ac:dyDescent="0.3">
      <c r="A1" s="385" t="s">
        <v>264</v>
      </c>
      <c r="B1" s="385"/>
      <c r="C1" s="385"/>
      <c r="D1" s="385"/>
      <c r="E1" s="385"/>
      <c r="F1" s="385"/>
      <c r="G1" s="385"/>
      <c r="H1" s="385"/>
      <c r="I1" s="385"/>
      <c r="J1" s="385"/>
      <c r="K1" s="385"/>
      <c r="L1" s="385"/>
      <c r="M1" s="385"/>
      <c r="N1" s="385"/>
      <c r="O1" s="385"/>
      <c r="P1" s="385"/>
      <c r="Q1" s="385"/>
      <c r="R1" s="385"/>
      <c r="S1" s="385"/>
      <c r="T1" s="385"/>
      <c r="U1" s="385"/>
      <c r="V1" s="385"/>
      <c r="W1" s="385"/>
      <c r="X1" s="385"/>
      <c r="Y1" s="385"/>
      <c r="Z1" s="385"/>
      <c r="AA1" s="385"/>
      <c r="AB1" s="385"/>
      <c r="AC1" s="385"/>
      <c r="AD1" s="385"/>
      <c r="AE1" s="385"/>
      <c r="AF1" s="385"/>
      <c r="AG1" s="385"/>
    </row>
    <row r="2" spans="1:33" s="3" customFormat="1" ht="8.25" customHeight="1" x14ac:dyDescent="0.25">
      <c r="A2" s="388"/>
      <c r="B2" s="388"/>
      <c r="C2" s="388"/>
      <c r="D2" s="388"/>
      <c r="E2" s="388"/>
      <c r="F2" s="388"/>
      <c r="G2" s="388"/>
      <c r="H2" s="388"/>
      <c r="I2" s="388"/>
      <c r="J2" s="388"/>
      <c r="K2" s="388"/>
      <c r="L2" s="388"/>
      <c r="M2" s="388"/>
      <c r="N2" s="388"/>
      <c r="O2" s="388"/>
      <c r="P2" s="388"/>
      <c r="Q2" s="388"/>
      <c r="R2" s="388"/>
      <c r="S2" s="388"/>
      <c r="T2" s="388"/>
      <c r="U2" s="388"/>
      <c r="V2" s="388"/>
      <c r="W2" s="388"/>
      <c r="X2" s="388"/>
      <c r="Y2" s="388"/>
      <c r="Z2" s="388"/>
      <c r="AA2" s="388"/>
      <c r="AB2" s="388"/>
      <c r="AC2" s="388"/>
      <c r="AD2" s="388"/>
      <c r="AE2" s="388"/>
      <c r="AF2" s="388"/>
      <c r="AG2" s="388"/>
    </row>
    <row r="3" spans="1:33" s="27" customFormat="1" ht="52.5" customHeight="1" x14ac:dyDescent="0.25">
      <c r="A3" s="386" t="s">
        <v>150</v>
      </c>
      <c r="B3" s="386" t="s">
        <v>45</v>
      </c>
      <c r="C3" s="386" t="s">
        <v>47</v>
      </c>
      <c r="D3" s="386" t="s">
        <v>48</v>
      </c>
      <c r="E3" s="386" t="s">
        <v>49</v>
      </c>
      <c r="F3" s="386" t="s">
        <v>50</v>
      </c>
      <c r="G3" s="386" t="s">
        <v>40</v>
      </c>
      <c r="H3" s="386" t="s">
        <v>14</v>
      </c>
      <c r="I3" s="387" t="s">
        <v>15</v>
      </c>
      <c r="J3" s="386" t="s">
        <v>16</v>
      </c>
      <c r="K3" s="386"/>
      <c r="L3" s="386"/>
      <c r="M3" s="386"/>
      <c r="N3" s="379" t="s">
        <v>172</v>
      </c>
      <c r="O3" s="379" t="s">
        <v>174</v>
      </c>
      <c r="P3" s="379" t="s">
        <v>176</v>
      </c>
      <c r="Q3" s="379" t="s">
        <v>178</v>
      </c>
      <c r="R3" s="379" t="s">
        <v>180</v>
      </c>
      <c r="S3" s="389" t="s">
        <v>182</v>
      </c>
      <c r="T3" s="386" t="s">
        <v>17</v>
      </c>
      <c r="U3" s="386"/>
      <c r="V3" s="379" t="s">
        <v>185</v>
      </c>
      <c r="W3" s="379"/>
      <c r="X3" s="379" t="s">
        <v>186</v>
      </c>
      <c r="Y3" s="379"/>
      <c r="Z3" s="379" t="s">
        <v>188</v>
      </c>
      <c r="AA3" s="379"/>
      <c r="AB3" s="379" t="s">
        <v>191</v>
      </c>
      <c r="AC3" s="379"/>
      <c r="AD3" s="386" t="s">
        <v>18</v>
      </c>
      <c r="AE3" s="379" t="s">
        <v>194</v>
      </c>
      <c r="AF3" s="379"/>
      <c r="AG3" s="379"/>
    </row>
    <row r="4" spans="1:33" s="28" customFormat="1" ht="46.5" customHeight="1" x14ac:dyDescent="0.25">
      <c r="A4" s="386"/>
      <c r="B4" s="386"/>
      <c r="C4" s="386"/>
      <c r="D4" s="386"/>
      <c r="E4" s="386"/>
      <c r="F4" s="386"/>
      <c r="G4" s="386"/>
      <c r="H4" s="386"/>
      <c r="I4" s="387"/>
      <c r="J4" s="386" t="s">
        <v>19</v>
      </c>
      <c r="K4" s="386"/>
      <c r="L4" s="386"/>
      <c r="M4" s="386" t="s">
        <v>51</v>
      </c>
      <c r="N4" s="379"/>
      <c r="O4" s="379"/>
      <c r="P4" s="379"/>
      <c r="Q4" s="379"/>
      <c r="R4" s="379"/>
      <c r="S4" s="389"/>
      <c r="T4" s="386" t="s">
        <v>20</v>
      </c>
      <c r="U4" s="387" t="s">
        <v>21</v>
      </c>
      <c r="V4" s="379" t="s">
        <v>20</v>
      </c>
      <c r="W4" s="379" t="s">
        <v>21</v>
      </c>
      <c r="X4" s="379" t="s">
        <v>20</v>
      </c>
      <c r="Y4" s="379" t="s">
        <v>21</v>
      </c>
      <c r="Z4" s="379" t="s">
        <v>20</v>
      </c>
      <c r="AA4" s="379" t="s">
        <v>21</v>
      </c>
      <c r="AB4" s="379" t="s">
        <v>20</v>
      </c>
      <c r="AC4" s="379" t="s">
        <v>21</v>
      </c>
      <c r="AD4" s="386"/>
      <c r="AE4" s="379" t="s">
        <v>69</v>
      </c>
      <c r="AF4" s="379"/>
      <c r="AG4" s="379"/>
    </row>
    <row r="5" spans="1:33" s="29" customFormat="1" ht="44.25" customHeight="1" x14ac:dyDescent="0.25">
      <c r="A5" s="386"/>
      <c r="B5" s="386"/>
      <c r="C5" s="386"/>
      <c r="D5" s="386"/>
      <c r="E5" s="386"/>
      <c r="F5" s="386"/>
      <c r="G5" s="386"/>
      <c r="H5" s="386"/>
      <c r="I5" s="387"/>
      <c r="J5" s="209" t="s">
        <v>159</v>
      </c>
      <c r="K5" s="209" t="s">
        <v>160</v>
      </c>
      <c r="L5" s="209" t="s">
        <v>22</v>
      </c>
      <c r="M5" s="386"/>
      <c r="N5" s="379"/>
      <c r="O5" s="379"/>
      <c r="P5" s="379"/>
      <c r="Q5" s="379"/>
      <c r="R5" s="379"/>
      <c r="S5" s="389"/>
      <c r="T5" s="386"/>
      <c r="U5" s="387"/>
      <c r="V5" s="379"/>
      <c r="W5" s="379"/>
      <c r="X5" s="379"/>
      <c r="Y5" s="379"/>
      <c r="Z5" s="379"/>
      <c r="AA5" s="379"/>
      <c r="AB5" s="379"/>
      <c r="AC5" s="379"/>
      <c r="AD5" s="386"/>
      <c r="AE5" s="379" t="s">
        <v>70</v>
      </c>
      <c r="AF5" s="379" t="s">
        <v>71</v>
      </c>
      <c r="AG5" s="379" t="s">
        <v>72</v>
      </c>
    </row>
    <row r="6" spans="1:33" s="30" customFormat="1" ht="42.75" customHeight="1" x14ac:dyDescent="0.25">
      <c r="A6" s="2" t="s">
        <v>44</v>
      </c>
      <c r="B6" s="209" t="s">
        <v>23</v>
      </c>
      <c r="C6" s="2" t="s">
        <v>24</v>
      </c>
      <c r="D6" s="2" t="s">
        <v>25</v>
      </c>
      <c r="E6" s="2" t="s">
        <v>26</v>
      </c>
      <c r="F6" s="2" t="s">
        <v>27</v>
      </c>
      <c r="G6" s="2" t="s">
        <v>28</v>
      </c>
      <c r="H6" s="209" t="s">
        <v>29</v>
      </c>
      <c r="I6" s="259" t="s">
        <v>30</v>
      </c>
      <c r="J6" s="384" t="s">
        <v>31</v>
      </c>
      <c r="K6" s="384"/>
      <c r="L6" s="384"/>
      <c r="M6" s="384"/>
      <c r="N6" s="260" t="s">
        <v>173</v>
      </c>
      <c r="O6" s="260" t="s">
        <v>175</v>
      </c>
      <c r="P6" s="260" t="s">
        <v>177</v>
      </c>
      <c r="Q6" s="260" t="s">
        <v>179</v>
      </c>
      <c r="R6" s="260" t="s">
        <v>181</v>
      </c>
      <c r="S6" s="261" t="s">
        <v>183</v>
      </c>
      <c r="T6" s="384" t="s">
        <v>184</v>
      </c>
      <c r="U6" s="384"/>
      <c r="V6" s="379" t="s">
        <v>32</v>
      </c>
      <c r="W6" s="379"/>
      <c r="X6" s="379" t="s">
        <v>187</v>
      </c>
      <c r="Y6" s="379"/>
      <c r="Z6" s="379" t="s">
        <v>189</v>
      </c>
      <c r="AA6" s="379"/>
      <c r="AB6" s="379" t="s">
        <v>190</v>
      </c>
      <c r="AC6" s="379"/>
      <c r="AD6" s="209" t="s">
        <v>193</v>
      </c>
      <c r="AE6" s="379"/>
      <c r="AF6" s="379"/>
      <c r="AG6" s="379"/>
    </row>
    <row r="7" spans="1:33" s="10" customFormat="1" ht="22.5" customHeight="1" x14ac:dyDescent="0.25">
      <c r="A7" s="230" t="s">
        <v>113</v>
      </c>
      <c r="B7" s="377" t="s">
        <v>73</v>
      </c>
      <c r="C7" s="377"/>
      <c r="D7" s="377"/>
      <c r="E7" s="377"/>
      <c r="F7" s="377"/>
      <c r="G7" s="377"/>
      <c r="H7" s="377"/>
      <c r="I7" s="377"/>
      <c r="J7" s="377"/>
      <c r="K7" s="377"/>
      <c r="L7" s="377"/>
      <c r="M7" s="377"/>
      <c r="N7" s="377"/>
      <c r="O7" s="377"/>
      <c r="P7" s="377"/>
      <c r="Q7" s="377"/>
      <c r="R7" s="377"/>
      <c r="S7" s="377"/>
      <c r="T7" s="377"/>
      <c r="U7" s="377"/>
      <c r="V7" s="378"/>
      <c r="W7" s="378"/>
      <c r="X7" s="378"/>
      <c r="Y7" s="378"/>
      <c r="Z7" s="378"/>
      <c r="AA7" s="378"/>
      <c r="AB7" s="378"/>
      <c r="AC7" s="378"/>
      <c r="AD7" s="377"/>
      <c r="AE7" s="377"/>
      <c r="AF7" s="377"/>
      <c r="AG7" s="377"/>
    </row>
    <row r="8" spans="1:33" s="220" customFormat="1" ht="18.75" customHeight="1" x14ac:dyDescent="0.25">
      <c r="A8" s="141" t="s">
        <v>53</v>
      </c>
      <c r="B8" s="141" t="s">
        <v>74</v>
      </c>
      <c r="C8" s="140" t="s">
        <v>5</v>
      </c>
      <c r="D8" s="213">
        <v>0</v>
      </c>
      <c r="E8" s="223">
        <v>0</v>
      </c>
      <c r="F8" s="215">
        <v>0</v>
      </c>
      <c r="G8" s="215">
        <v>0</v>
      </c>
      <c r="H8" s="215">
        <f>$E$8+$F$8+$G$8</f>
        <v>0</v>
      </c>
      <c r="I8" s="218">
        <f>IFERROR($H$8/'Table I'!$E$12*100,0)</f>
        <v>0</v>
      </c>
      <c r="J8" s="215">
        <f>$H$8</f>
        <v>0</v>
      </c>
      <c r="K8" s="215">
        <v>0</v>
      </c>
      <c r="L8" s="215">
        <f>$J$8+$K$8</f>
        <v>0</v>
      </c>
      <c r="M8" s="218">
        <f>IFERROR($L$8/'Table I'!$E$12*100,0)</f>
        <v>0</v>
      </c>
      <c r="N8" s="215">
        <v>0</v>
      </c>
      <c r="O8" s="215">
        <v>0</v>
      </c>
      <c r="P8" s="215">
        <v>0</v>
      </c>
      <c r="Q8" s="215">
        <f>$P$8+$O$8+$N$8</f>
        <v>0</v>
      </c>
      <c r="R8" s="215">
        <f>$Q$8+$H$8</f>
        <v>0</v>
      </c>
      <c r="S8" s="218">
        <f>IFERROR(($R$8/('Table I'!$R$12)*100),0)</f>
        <v>0</v>
      </c>
      <c r="T8" s="223">
        <v>0</v>
      </c>
      <c r="U8" s="219">
        <f>IFERROR($T$8/$E$8*100,0)</f>
        <v>0</v>
      </c>
      <c r="V8" s="146"/>
      <c r="W8" s="147"/>
      <c r="X8" s="148"/>
      <c r="Y8" s="147"/>
      <c r="Z8" s="148"/>
      <c r="AA8" s="147"/>
      <c r="AB8" s="148"/>
      <c r="AC8" s="149"/>
      <c r="AD8" s="216">
        <v>0</v>
      </c>
      <c r="AE8" s="142">
        <v>0</v>
      </c>
      <c r="AF8" s="142">
        <v>0</v>
      </c>
      <c r="AG8" s="142">
        <v>0</v>
      </c>
    </row>
    <row r="9" spans="1:33" s="220" customFormat="1" ht="18.75" customHeight="1" x14ac:dyDescent="0.25">
      <c r="A9" s="141" t="s">
        <v>54</v>
      </c>
      <c r="B9" s="141" t="s">
        <v>259</v>
      </c>
      <c r="C9" s="140" t="s">
        <v>5</v>
      </c>
      <c r="D9" s="213">
        <v>0</v>
      </c>
      <c r="E9" s="223">
        <v>0</v>
      </c>
      <c r="F9" s="215">
        <v>0</v>
      </c>
      <c r="G9" s="215">
        <v>0</v>
      </c>
      <c r="H9" s="215">
        <f>$E$9+$F$9+$G$9</f>
        <v>0</v>
      </c>
      <c r="I9" s="218">
        <f>IFERROR($H$9/'Table I'!$E$12*100,0)</f>
        <v>0</v>
      </c>
      <c r="J9" s="215">
        <f>$H$9</f>
        <v>0</v>
      </c>
      <c r="K9" s="215">
        <v>0</v>
      </c>
      <c r="L9" s="215">
        <f>$J$9+$K$9</f>
        <v>0</v>
      </c>
      <c r="M9" s="218">
        <f>IFERROR($L$9/'Table I'!$E$12*100,0)</f>
        <v>0</v>
      </c>
      <c r="N9" s="215">
        <v>0</v>
      </c>
      <c r="O9" s="215">
        <v>0</v>
      </c>
      <c r="P9" s="215">
        <v>0</v>
      </c>
      <c r="Q9" s="215">
        <f>$P$9+$O$9+$N$9</f>
        <v>0</v>
      </c>
      <c r="R9" s="215">
        <f>$Q$9+$H$9</f>
        <v>0</v>
      </c>
      <c r="S9" s="218">
        <f>IFERROR(($R$9/('Table I'!$R$12)*100),0)</f>
        <v>0</v>
      </c>
      <c r="T9" s="223">
        <v>0</v>
      </c>
      <c r="U9" s="219">
        <f>IFERROR($T$9/$E$9*100,0)</f>
        <v>0</v>
      </c>
      <c r="V9" s="150"/>
      <c r="W9" s="255"/>
      <c r="X9" s="272"/>
      <c r="Y9" s="255"/>
      <c r="Z9" s="272"/>
      <c r="AA9" s="255"/>
      <c r="AB9" s="272"/>
      <c r="AC9" s="151"/>
      <c r="AD9" s="216">
        <v>0</v>
      </c>
      <c r="AE9" s="142">
        <v>0</v>
      </c>
      <c r="AF9" s="142">
        <v>0</v>
      </c>
      <c r="AG9" s="142">
        <v>0</v>
      </c>
    </row>
    <row r="10" spans="1:33" s="220" customFormat="1" ht="18.75" customHeight="1" x14ac:dyDescent="0.25">
      <c r="A10" s="141" t="s">
        <v>55</v>
      </c>
      <c r="B10" s="141" t="s">
        <v>75</v>
      </c>
      <c r="C10" s="140" t="s">
        <v>5</v>
      </c>
      <c r="D10" s="213">
        <v>0</v>
      </c>
      <c r="E10" s="223">
        <v>0</v>
      </c>
      <c r="F10" s="215">
        <v>0</v>
      </c>
      <c r="G10" s="215">
        <v>0</v>
      </c>
      <c r="H10" s="215">
        <f>$E$10+$F$10+$G$10</f>
        <v>0</v>
      </c>
      <c r="I10" s="218">
        <f>IFERROR($H$10/'Table I'!$E$12*100,0)</f>
        <v>0</v>
      </c>
      <c r="J10" s="215">
        <f>$H$10</f>
        <v>0</v>
      </c>
      <c r="K10" s="215">
        <v>0</v>
      </c>
      <c r="L10" s="215">
        <f>$J$10+$K$10</f>
        <v>0</v>
      </c>
      <c r="M10" s="218">
        <f>IFERROR($L$10/'Table I'!$E$12*100,0)</f>
        <v>0</v>
      </c>
      <c r="N10" s="215">
        <v>0</v>
      </c>
      <c r="O10" s="215">
        <v>0</v>
      </c>
      <c r="P10" s="215">
        <v>0</v>
      </c>
      <c r="Q10" s="215">
        <f>$P$10+$O$10+$N$10</f>
        <v>0</v>
      </c>
      <c r="R10" s="215">
        <f>$Q$10+$H$10</f>
        <v>0</v>
      </c>
      <c r="S10" s="218">
        <f>IFERROR(($R$10/('Table I'!$R$12)*100),0)</f>
        <v>0</v>
      </c>
      <c r="T10" s="223">
        <v>0</v>
      </c>
      <c r="U10" s="219">
        <f>IFERROR($T$10/$E$10*100,0)</f>
        <v>0</v>
      </c>
      <c r="V10" s="150"/>
      <c r="W10" s="255"/>
      <c r="X10" s="272"/>
      <c r="Y10" s="255"/>
      <c r="Z10" s="272"/>
      <c r="AA10" s="255"/>
      <c r="AB10" s="272"/>
      <c r="AC10" s="151"/>
      <c r="AD10" s="216">
        <v>0</v>
      </c>
      <c r="AE10" s="142">
        <v>0</v>
      </c>
      <c r="AF10" s="142">
        <v>0</v>
      </c>
      <c r="AG10" s="142">
        <v>0</v>
      </c>
    </row>
    <row r="11" spans="1:33" s="220" customFormat="1" ht="18.75" customHeight="1" x14ac:dyDescent="0.25">
      <c r="A11" s="141" t="s">
        <v>56</v>
      </c>
      <c r="B11" s="141" t="s">
        <v>76</v>
      </c>
      <c r="C11" s="140" t="s">
        <v>5</v>
      </c>
      <c r="D11" s="213">
        <v>0</v>
      </c>
      <c r="E11" s="223">
        <v>0</v>
      </c>
      <c r="F11" s="215">
        <v>0</v>
      </c>
      <c r="G11" s="215">
        <v>0</v>
      </c>
      <c r="H11" s="215">
        <f>$E$11+$F$11+$G$11</f>
        <v>0</v>
      </c>
      <c r="I11" s="218">
        <f>IFERROR($H$11/'Table I'!$E$12*100,0)</f>
        <v>0</v>
      </c>
      <c r="J11" s="215">
        <f>$H$11</f>
        <v>0</v>
      </c>
      <c r="K11" s="215">
        <v>0</v>
      </c>
      <c r="L11" s="215">
        <f>$J$11+$K$11</f>
        <v>0</v>
      </c>
      <c r="M11" s="218">
        <f>IFERROR($L$11/'Table I'!$E$12*100,0)</f>
        <v>0</v>
      </c>
      <c r="N11" s="215">
        <v>0</v>
      </c>
      <c r="O11" s="215">
        <v>0</v>
      </c>
      <c r="P11" s="215">
        <v>0</v>
      </c>
      <c r="Q11" s="215">
        <f>$P$11+$O$11+$N$11</f>
        <v>0</v>
      </c>
      <c r="R11" s="215">
        <f>$Q$11+$H$11</f>
        <v>0</v>
      </c>
      <c r="S11" s="218">
        <f>IFERROR(($R$11/('Table I'!$R$12)*100),0)</f>
        <v>0</v>
      </c>
      <c r="T11" s="223">
        <v>0</v>
      </c>
      <c r="U11" s="219">
        <f>IFERROR($T$11/$E$11*100,0)</f>
        <v>0</v>
      </c>
      <c r="V11" s="150"/>
      <c r="W11" s="255"/>
      <c r="X11" s="272"/>
      <c r="Y11" s="255"/>
      <c r="Z11" s="272"/>
      <c r="AA11" s="255"/>
      <c r="AB11" s="272"/>
      <c r="AC11" s="151"/>
      <c r="AD11" s="216">
        <v>0</v>
      </c>
      <c r="AE11" s="142">
        <v>0</v>
      </c>
      <c r="AF11" s="142">
        <v>0</v>
      </c>
      <c r="AG11" s="142">
        <v>0</v>
      </c>
    </row>
    <row r="12" spans="1:33" s="220" customFormat="1" ht="18.75" customHeight="1" x14ac:dyDescent="0.25">
      <c r="A12" s="141" t="s">
        <v>77</v>
      </c>
      <c r="B12" s="141" t="s">
        <v>260</v>
      </c>
      <c r="C12" s="140" t="s">
        <v>5</v>
      </c>
      <c r="D12" s="213">
        <v>0</v>
      </c>
      <c r="E12" s="223">
        <v>0</v>
      </c>
      <c r="F12" s="215">
        <v>0</v>
      </c>
      <c r="G12" s="215">
        <v>0</v>
      </c>
      <c r="H12" s="215">
        <f>$E$12+$F$12+$G$12</f>
        <v>0</v>
      </c>
      <c r="I12" s="218">
        <f>IFERROR($H$12/'Table I'!$E$12*100,0)</f>
        <v>0</v>
      </c>
      <c r="J12" s="215">
        <f>$H$12</f>
        <v>0</v>
      </c>
      <c r="K12" s="215">
        <v>0</v>
      </c>
      <c r="L12" s="215">
        <f>$J$12+$K$12</f>
        <v>0</v>
      </c>
      <c r="M12" s="218">
        <f>IFERROR($L$12/'Table I'!$E$12*100,0)</f>
        <v>0</v>
      </c>
      <c r="N12" s="215">
        <v>0</v>
      </c>
      <c r="O12" s="215">
        <v>0</v>
      </c>
      <c r="P12" s="215">
        <v>0</v>
      </c>
      <c r="Q12" s="215">
        <f>$P$12+$O$12+$N$12</f>
        <v>0</v>
      </c>
      <c r="R12" s="215">
        <f>$Q$12+$H$12</f>
        <v>0</v>
      </c>
      <c r="S12" s="218">
        <f>IFERROR(($R$12/('Table I'!$R$12)*100),0)</f>
        <v>0</v>
      </c>
      <c r="T12" s="223">
        <v>0</v>
      </c>
      <c r="U12" s="219">
        <f>IFERROR($T$12/$E$12*100,0)</f>
        <v>0</v>
      </c>
      <c r="V12" s="150"/>
      <c r="W12" s="255"/>
      <c r="X12" s="272"/>
      <c r="Y12" s="255"/>
      <c r="Z12" s="272"/>
      <c r="AA12" s="255"/>
      <c r="AB12" s="272"/>
      <c r="AC12" s="151"/>
      <c r="AD12" s="216">
        <v>0</v>
      </c>
      <c r="AE12" s="142">
        <v>0</v>
      </c>
      <c r="AF12" s="142">
        <v>0</v>
      </c>
      <c r="AG12" s="142">
        <v>0</v>
      </c>
    </row>
    <row r="13" spans="1:33" s="220" customFormat="1" ht="18.75" customHeight="1" x14ac:dyDescent="0.25">
      <c r="A13" s="141" t="s">
        <v>61</v>
      </c>
      <c r="B13" s="141" t="s">
        <v>261</v>
      </c>
      <c r="C13" s="140" t="s">
        <v>5</v>
      </c>
      <c r="D13" s="213">
        <v>0</v>
      </c>
      <c r="E13" s="223">
        <v>0</v>
      </c>
      <c r="F13" s="215">
        <v>0</v>
      </c>
      <c r="G13" s="215">
        <v>0</v>
      </c>
      <c r="H13" s="215">
        <f>$E$13+$F$13+$G$13</f>
        <v>0</v>
      </c>
      <c r="I13" s="218">
        <f>IFERROR($H$13/'Table I'!$E$12*100,0)</f>
        <v>0</v>
      </c>
      <c r="J13" s="215">
        <f>$H$13</f>
        <v>0</v>
      </c>
      <c r="K13" s="215">
        <v>0</v>
      </c>
      <c r="L13" s="215">
        <f>$J$13+$K$13</f>
        <v>0</v>
      </c>
      <c r="M13" s="218">
        <f>IFERROR($L$13/'Table I'!$E$12*100,0)</f>
        <v>0</v>
      </c>
      <c r="N13" s="215">
        <v>0</v>
      </c>
      <c r="O13" s="215">
        <v>0</v>
      </c>
      <c r="P13" s="215">
        <v>0</v>
      </c>
      <c r="Q13" s="215">
        <f>$P$13+$O$13+$N$13</f>
        <v>0</v>
      </c>
      <c r="R13" s="215">
        <f>$Q$13+$H$13</f>
        <v>0</v>
      </c>
      <c r="S13" s="218">
        <f>IFERROR(($R$13/('Table I'!$R$12)*100),0)</f>
        <v>0</v>
      </c>
      <c r="T13" s="223">
        <v>0</v>
      </c>
      <c r="U13" s="219">
        <f>IFERROR($T$13/$E$13*100,0)</f>
        <v>0</v>
      </c>
      <c r="V13" s="150"/>
      <c r="W13" s="255"/>
      <c r="X13" s="272"/>
      <c r="Y13" s="255"/>
      <c r="Z13" s="272"/>
      <c r="AA13" s="255"/>
      <c r="AB13" s="272"/>
      <c r="AC13" s="151"/>
      <c r="AD13" s="216">
        <v>0</v>
      </c>
      <c r="AE13" s="142">
        <v>0</v>
      </c>
      <c r="AF13" s="142">
        <v>0</v>
      </c>
      <c r="AG13" s="142">
        <v>0</v>
      </c>
    </row>
    <row r="14" spans="1:33" s="220" customFormat="1" ht="18.75" customHeight="1" x14ac:dyDescent="0.25">
      <c r="A14" s="141" t="s">
        <v>79</v>
      </c>
      <c r="B14" s="141" t="s">
        <v>262</v>
      </c>
      <c r="C14" s="140" t="s">
        <v>5</v>
      </c>
      <c r="D14" s="213">
        <v>0</v>
      </c>
      <c r="E14" s="223">
        <v>0</v>
      </c>
      <c r="F14" s="215">
        <v>0</v>
      </c>
      <c r="G14" s="215">
        <v>0</v>
      </c>
      <c r="H14" s="215">
        <f>$E$14+$F$14+$G$14</f>
        <v>0</v>
      </c>
      <c r="I14" s="218">
        <f>IFERROR($H$14/'Table I'!$E$12*100,0)</f>
        <v>0</v>
      </c>
      <c r="J14" s="215">
        <f>$H$14</f>
        <v>0</v>
      </c>
      <c r="K14" s="215">
        <v>0</v>
      </c>
      <c r="L14" s="215">
        <f>$J$14+$K$14</f>
        <v>0</v>
      </c>
      <c r="M14" s="218">
        <f>IFERROR($L$14/'Table I'!$E$12*100,0)</f>
        <v>0</v>
      </c>
      <c r="N14" s="215">
        <v>0</v>
      </c>
      <c r="O14" s="215">
        <v>0</v>
      </c>
      <c r="P14" s="215">
        <v>0</v>
      </c>
      <c r="Q14" s="215">
        <f>$P$14+$O$14+$N$14</f>
        <v>0</v>
      </c>
      <c r="R14" s="215">
        <f>$Q$14+$H$14</f>
        <v>0</v>
      </c>
      <c r="S14" s="218">
        <f>IFERROR(($R$14/('Table I'!$R$12)*100),0)</f>
        <v>0</v>
      </c>
      <c r="T14" s="223">
        <v>0</v>
      </c>
      <c r="U14" s="219">
        <f>IFERROR($T$14/$E$14*100,0)</f>
        <v>0</v>
      </c>
      <c r="V14" s="150"/>
      <c r="W14" s="255"/>
      <c r="X14" s="272"/>
      <c r="Y14" s="255"/>
      <c r="Z14" s="272"/>
      <c r="AA14" s="255"/>
      <c r="AB14" s="272"/>
      <c r="AC14" s="151"/>
      <c r="AD14" s="216">
        <v>0</v>
      </c>
      <c r="AE14" s="142">
        <v>0</v>
      </c>
      <c r="AF14" s="142">
        <v>0</v>
      </c>
      <c r="AG14" s="142">
        <v>0</v>
      </c>
    </row>
    <row r="15" spans="1:33" s="220" customFormat="1" ht="18.75" customHeight="1" x14ac:dyDescent="0.25">
      <c r="A15" s="141" t="s">
        <v>80</v>
      </c>
      <c r="B15" s="141" t="s">
        <v>81</v>
      </c>
      <c r="C15" s="140" t="s">
        <v>5</v>
      </c>
      <c r="D15" s="213">
        <v>0</v>
      </c>
      <c r="E15" s="223">
        <v>0</v>
      </c>
      <c r="F15" s="215">
        <v>0</v>
      </c>
      <c r="G15" s="215">
        <v>0</v>
      </c>
      <c r="H15" s="215">
        <f>$E$15+$F$15+$G$15</f>
        <v>0</v>
      </c>
      <c r="I15" s="218">
        <f>IFERROR($H$15/'Table I'!$E$12*100,0)</f>
        <v>0</v>
      </c>
      <c r="J15" s="215">
        <f>$H$15</f>
        <v>0</v>
      </c>
      <c r="K15" s="215">
        <v>0</v>
      </c>
      <c r="L15" s="215">
        <f>$J$15+$K$15</f>
        <v>0</v>
      </c>
      <c r="M15" s="218">
        <f>IFERROR($L$15/'Table I'!$E$12*100,0)</f>
        <v>0</v>
      </c>
      <c r="N15" s="215">
        <v>0</v>
      </c>
      <c r="O15" s="215">
        <v>0</v>
      </c>
      <c r="P15" s="215">
        <v>0</v>
      </c>
      <c r="Q15" s="215">
        <f>$P$15+$O$15+$N$15</f>
        <v>0</v>
      </c>
      <c r="R15" s="215">
        <f>$Q$15+$H$15</f>
        <v>0</v>
      </c>
      <c r="S15" s="218">
        <f>IFERROR(($R$15/('Table I'!$R$12)*100),0)</f>
        <v>0</v>
      </c>
      <c r="T15" s="223">
        <v>0</v>
      </c>
      <c r="U15" s="219">
        <f>IFERROR($T$15/$E$15*100,0)</f>
        <v>0</v>
      </c>
      <c r="V15" s="150"/>
      <c r="W15" s="255"/>
      <c r="X15" s="272"/>
      <c r="Y15" s="255"/>
      <c r="Z15" s="272"/>
      <c r="AA15" s="255"/>
      <c r="AB15" s="272"/>
      <c r="AC15" s="151"/>
      <c r="AD15" s="216">
        <v>0</v>
      </c>
      <c r="AE15" s="142">
        <v>0</v>
      </c>
      <c r="AF15" s="142">
        <v>0</v>
      </c>
      <c r="AG15" s="142">
        <v>0</v>
      </c>
    </row>
    <row r="16" spans="1:33" s="220" customFormat="1" ht="18.75" customHeight="1" x14ac:dyDescent="0.25">
      <c r="A16" s="141" t="s">
        <v>82</v>
      </c>
      <c r="B16" s="141" t="s">
        <v>83</v>
      </c>
      <c r="C16" s="140" t="s">
        <v>5</v>
      </c>
      <c r="D16" s="213">
        <v>0</v>
      </c>
      <c r="E16" s="223">
        <v>0</v>
      </c>
      <c r="F16" s="215">
        <v>0</v>
      </c>
      <c r="G16" s="215">
        <v>0</v>
      </c>
      <c r="H16" s="215">
        <f>$E$16+$F$16+$G$16</f>
        <v>0</v>
      </c>
      <c r="I16" s="218">
        <f>IFERROR($H$16/'Table I'!$E$12*100,0)</f>
        <v>0</v>
      </c>
      <c r="J16" s="215">
        <f>$H$16</f>
        <v>0</v>
      </c>
      <c r="K16" s="215">
        <v>0</v>
      </c>
      <c r="L16" s="215">
        <f>$J$16+$K$16</f>
        <v>0</v>
      </c>
      <c r="M16" s="218">
        <f>IFERROR($L$16/'Table I'!$E$12*100,0)</f>
        <v>0</v>
      </c>
      <c r="N16" s="215">
        <v>0</v>
      </c>
      <c r="O16" s="215">
        <v>0</v>
      </c>
      <c r="P16" s="215">
        <v>0</v>
      </c>
      <c r="Q16" s="215">
        <f>$P$16+$O$16+$N$16</f>
        <v>0</v>
      </c>
      <c r="R16" s="215">
        <f>$Q$16+$H$16</f>
        <v>0</v>
      </c>
      <c r="S16" s="218">
        <f>IFERROR(($R$16/('Table I'!$R$12)*100),0)</f>
        <v>0</v>
      </c>
      <c r="T16" s="223">
        <v>0</v>
      </c>
      <c r="U16" s="219">
        <f>IFERROR($T$16/$E$16*100,0)</f>
        <v>0</v>
      </c>
      <c r="V16" s="150"/>
      <c r="W16" s="255"/>
      <c r="X16" s="272"/>
      <c r="Y16" s="255"/>
      <c r="Z16" s="272"/>
      <c r="AA16" s="255"/>
      <c r="AB16" s="272"/>
      <c r="AC16" s="151"/>
      <c r="AD16" s="216">
        <v>0</v>
      </c>
      <c r="AE16" s="142">
        <v>0</v>
      </c>
      <c r="AF16" s="142">
        <v>0</v>
      </c>
      <c r="AG16" s="142">
        <v>0</v>
      </c>
    </row>
    <row r="17" spans="1:33" s="220" customFormat="1" ht="18.75" customHeight="1" x14ac:dyDescent="0.25">
      <c r="A17" s="141" t="s">
        <v>84</v>
      </c>
      <c r="B17" s="141" t="s">
        <v>85</v>
      </c>
      <c r="C17" s="140" t="s">
        <v>5</v>
      </c>
      <c r="D17" s="213">
        <v>0</v>
      </c>
      <c r="E17" s="223">
        <v>0</v>
      </c>
      <c r="F17" s="215">
        <v>0</v>
      </c>
      <c r="G17" s="215">
        <v>0</v>
      </c>
      <c r="H17" s="215">
        <f>$E$17+$F$17+$G$17</f>
        <v>0</v>
      </c>
      <c r="I17" s="218">
        <f>IFERROR($H$17/'Table I'!$E$12*100,0)</f>
        <v>0</v>
      </c>
      <c r="J17" s="215">
        <f>$H$17</f>
        <v>0</v>
      </c>
      <c r="K17" s="215">
        <v>0</v>
      </c>
      <c r="L17" s="215">
        <f>$J$17+$K$17</f>
        <v>0</v>
      </c>
      <c r="M17" s="218">
        <f>IFERROR($L$17/'Table I'!$E$12*100,0)</f>
        <v>0</v>
      </c>
      <c r="N17" s="215">
        <v>0</v>
      </c>
      <c r="O17" s="215">
        <v>0</v>
      </c>
      <c r="P17" s="215">
        <v>0</v>
      </c>
      <c r="Q17" s="215">
        <f>$P$17+$O$17+$N$17</f>
        <v>0</v>
      </c>
      <c r="R17" s="215">
        <f>$Q$17+$H$17</f>
        <v>0</v>
      </c>
      <c r="S17" s="218">
        <f>IFERROR(($R$17/('Table I'!$R$12)*100),0)</f>
        <v>0</v>
      </c>
      <c r="T17" s="223">
        <v>0</v>
      </c>
      <c r="U17" s="219">
        <f>IFERROR($T$17/$E$17*100,0)</f>
        <v>0</v>
      </c>
      <c r="V17" s="150"/>
      <c r="W17" s="255"/>
      <c r="X17" s="272"/>
      <c r="Y17" s="255"/>
      <c r="Z17" s="272"/>
      <c r="AA17" s="255"/>
      <c r="AB17" s="272"/>
      <c r="AC17" s="151"/>
      <c r="AD17" s="216">
        <v>0</v>
      </c>
      <c r="AE17" s="142">
        <v>0</v>
      </c>
      <c r="AF17" s="142">
        <v>0</v>
      </c>
      <c r="AG17" s="142">
        <v>0</v>
      </c>
    </row>
    <row r="18" spans="1:33" s="220" customFormat="1" ht="18.75" customHeight="1" x14ac:dyDescent="0.25">
      <c r="A18" s="232" t="s">
        <v>86</v>
      </c>
      <c r="B18" s="232" t="s">
        <v>263</v>
      </c>
      <c r="C18" s="231" t="s">
        <v>5</v>
      </c>
      <c r="D18" s="233">
        <f>$D$19+$D$20+$D$21+$D$22+$D$23+$D$24+$D$25+$D$26+$D$27+$D$28</f>
        <v>0</v>
      </c>
      <c r="E18" s="234">
        <f>$E$19+$E$20+$E$21+$E$22+$E$23+$E$24+$E$25+$E$26+$E$27+$E$28</f>
        <v>0</v>
      </c>
      <c r="F18" s="235">
        <f>$F$19+$F$20+$F$21+$F$22+$F$23+$F$24+$F$25+$F$26+$F$27+$F$28</f>
        <v>0</v>
      </c>
      <c r="G18" s="235">
        <f>$G$19+$G$20+$G$21+$G$22+$G$23+$G$24+$G$25+$G$26+$G$27+$G$28</f>
        <v>0</v>
      </c>
      <c r="H18" s="235">
        <f>$E$18+$F$18+$G$18</f>
        <v>0</v>
      </c>
      <c r="I18" s="236">
        <f>IFERROR($H$18/'Table I'!$E$12*100,0)</f>
        <v>0</v>
      </c>
      <c r="J18" s="235">
        <f>$H$18</f>
        <v>0</v>
      </c>
      <c r="K18" s="235">
        <f>$K$19+$K$20+$K$21+$K$22+$K$23+$K$24+$K$25+$K$26+$K$27+$K$28</f>
        <v>0</v>
      </c>
      <c r="L18" s="235">
        <f>$J$18+$K$18</f>
        <v>0</v>
      </c>
      <c r="M18" s="236">
        <f>IFERROR($L$18/'Table I'!$E$12*100,0)</f>
        <v>0</v>
      </c>
      <c r="N18" s="235">
        <f>$N$19+$N$20+$N$21+$N$22+$N$23+$N$24+$N$25+$N$26+$N$27+$N$28</f>
        <v>0</v>
      </c>
      <c r="O18" s="235">
        <f>$O$19+$O$20+$O$21+$O$22+$O$23+$O$24+$O$25+$O$26+$O$27+$O$28</f>
        <v>0</v>
      </c>
      <c r="P18" s="235">
        <f>$P$19+$P$20+$P$21+$P$22+$P$23+$P$24+$P$25+$P$26+$P$27+$P$28</f>
        <v>0</v>
      </c>
      <c r="Q18" s="235">
        <f>$P$18+$O$18+$N$18</f>
        <v>0</v>
      </c>
      <c r="R18" s="235">
        <f>$Q$18+$H$18</f>
        <v>0</v>
      </c>
      <c r="S18" s="236">
        <f>IFERROR(($R$18/('Table I'!$R$12)*100),0)</f>
        <v>0</v>
      </c>
      <c r="T18" s="234">
        <f>$T$19+$T$20+$T$21+$T$22+$T$23+$T$24+$T$25+$T$26+$T$27+$T$28</f>
        <v>0</v>
      </c>
      <c r="U18" s="237">
        <f>IFERROR($T$18/$E$18*100,0)</f>
        <v>0</v>
      </c>
      <c r="V18" s="150"/>
      <c r="W18" s="255"/>
      <c r="X18" s="272"/>
      <c r="Y18" s="255"/>
      <c r="Z18" s="272"/>
      <c r="AA18" s="255"/>
      <c r="AB18" s="272"/>
      <c r="AC18" s="151"/>
      <c r="AD18" s="245">
        <v>0</v>
      </c>
      <c r="AE18" s="246">
        <f>$AE$19+$AE$20+$AE$21+$AE$22+$AE$23+$AE$24+$AE$25+$AE$26+$AE$27+$AE$28</f>
        <v>0</v>
      </c>
      <c r="AF18" s="246">
        <f>$AF$19+$AF$20+$AF$21+$AF$22+$AF$23+$AF$24+$AF$25+$AF$26+$AF$27+$AF$28</f>
        <v>0</v>
      </c>
      <c r="AG18" s="246">
        <f>$AG$19+$AG$20+$AG$21+$AG$22+$AG$23+$AG$24+$AG$25+$AG$26+$AG$27+$AG$28</f>
        <v>0</v>
      </c>
    </row>
    <row r="19" spans="1:33" s="220" customFormat="1" ht="18.75" customHeight="1" x14ac:dyDescent="0.25">
      <c r="A19" s="141"/>
      <c r="B19" s="141" t="s">
        <v>251</v>
      </c>
      <c r="C19" s="140" t="s">
        <v>5</v>
      </c>
      <c r="D19" s="213">
        <v>0</v>
      </c>
      <c r="E19" s="223">
        <v>0</v>
      </c>
      <c r="F19" s="215">
        <v>0</v>
      </c>
      <c r="G19" s="215">
        <v>0</v>
      </c>
      <c r="H19" s="215">
        <f>$E$19+$F$19+$G$19</f>
        <v>0</v>
      </c>
      <c r="I19" s="218">
        <f>IFERROR($H$19/'Table I'!$E$12*100,0)</f>
        <v>0</v>
      </c>
      <c r="J19" s="215">
        <f>$H$19</f>
        <v>0</v>
      </c>
      <c r="K19" s="215">
        <v>0</v>
      </c>
      <c r="L19" s="215">
        <f>$J$19+$K$19</f>
        <v>0</v>
      </c>
      <c r="M19" s="218">
        <f>IFERROR($L$19/'Table I'!$E$12*100,0)</f>
        <v>0</v>
      </c>
      <c r="N19" s="215">
        <v>0</v>
      </c>
      <c r="O19" s="215">
        <v>0</v>
      </c>
      <c r="P19" s="215">
        <v>0</v>
      </c>
      <c r="Q19" s="215">
        <f t="shared" ref="Q19:Q28" si="0">P19+O19+N19</f>
        <v>0</v>
      </c>
      <c r="R19" s="215">
        <f>$Q$19+$H$19</f>
        <v>0</v>
      </c>
      <c r="S19" s="218">
        <f>IFERROR(($R$19/('Table I'!$R$12)*100),0)</f>
        <v>0</v>
      </c>
      <c r="T19" s="223">
        <v>0</v>
      </c>
      <c r="U19" s="219">
        <f t="shared" ref="U19:U28" si="1">IFERROR(T19/E19*100,0)</f>
        <v>0</v>
      </c>
      <c r="V19" s="150"/>
      <c r="W19" s="255"/>
      <c r="X19" s="272"/>
      <c r="Y19" s="255"/>
      <c r="Z19" s="272"/>
      <c r="AA19" s="255"/>
      <c r="AB19" s="272"/>
      <c r="AC19" s="151"/>
      <c r="AD19" s="216">
        <v>0</v>
      </c>
      <c r="AE19" s="142">
        <v>0</v>
      </c>
      <c r="AF19" s="142">
        <v>0</v>
      </c>
      <c r="AG19" s="142">
        <v>0</v>
      </c>
    </row>
    <row r="20" spans="1:33" s="220" customFormat="1" ht="18.75" customHeight="1" x14ac:dyDescent="0.25">
      <c r="A20" s="141"/>
      <c r="B20" s="141" t="s">
        <v>254</v>
      </c>
      <c r="C20" s="140" t="s">
        <v>5</v>
      </c>
      <c r="D20" s="213">
        <v>0</v>
      </c>
      <c r="E20" s="223">
        <v>0</v>
      </c>
      <c r="F20" s="215">
        <v>0</v>
      </c>
      <c r="G20" s="215">
        <v>0</v>
      </c>
      <c r="H20" s="215">
        <f>$E$20+$F$20+$G$20</f>
        <v>0</v>
      </c>
      <c r="I20" s="218">
        <f>IFERROR($H$20/'Table I'!$E$12*100,0)</f>
        <v>0</v>
      </c>
      <c r="J20" s="215">
        <f>$H$20</f>
        <v>0</v>
      </c>
      <c r="K20" s="215">
        <v>0</v>
      </c>
      <c r="L20" s="215">
        <f>$J$20+$K$20</f>
        <v>0</v>
      </c>
      <c r="M20" s="218">
        <f>IFERROR($L$20/'Table I'!$E$12*100,0)</f>
        <v>0</v>
      </c>
      <c r="N20" s="215">
        <v>0</v>
      </c>
      <c r="O20" s="215">
        <v>0</v>
      </c>
      <c r="P20" s="215">
        <v>0</v>
      </c>
      <c r="Q20" s="215">
        <f t="shared" si="0"/>
        <v>0</v>
      </c>
      <c r="R20" s="215">
        <f>$Q$20+$H$20</f>
        <v>0</v>
      </c>
      <c r="S20" s="218">
        <f>IFERROR(($R$20/('Table I'!$R$12)*100),0)</f>
        <v>0</v>
      </c>
      <c r="T20" s="223">
        <v>0</v>
      </c>
      <c r="U20" s="219">
        <f t="shared" si="1"/>
        <v>0</v>
      </c>
      <c r="V20" s="150"/>
      <c r="W20" s="255"/>
      <c r="X20" s="272"/>
      <c r="Y20" s="255"/>
      <c r="Z20" s="272"/>
      <c r="AA20" s="255"/>
      <c r="AB20" s="272"/>
      <c r="AC20" s="151"/>
      <c r="AD20" s="216">
        <v>0</v>
      </c>
      <c r="AE20" s="142">
        <v>0</v>
      </c>
      <c r="AF20" s="142">
        <v>0</v>
      </c>
      <c r="AG20" s="142">
        <v>0</v>
      </c>
    </row>
    <row r="21" spans="1:33" s="220" customFormat="1" ht="18.75" customHeight="1" x14ac:dyDescent="0.25">
      <c r="A21" s="141"/>
      <c r="B21" s="141" t="s">
        <v>227</v>
      </c>
      <c r="C21" s="140" t="s">
        <v>5</v>
      </c>
      <c r="D21" s="213">
        <v>0</v>
      </c>
      <c r="E21" s="223">
        <v>0</v>
      </c>
      <c r="F21" s="215">
        <v>0</v>
      </c>
      <c r="G21" s="215">
        <v>0</v>
      </c>
      <c r="H21" s="215">
        <f>$E$21+$F$21+$G$21</f>
        <v>0</v>
      </c>
      <c r="I21" s="218">
        <f>IFERROR($H$21/'Table I'!$E$12*100,0)</f>
        <v>0</v>
      </c>
      <c r="J21" s="215">
        <f>$H$21</f>
        <v>0</v>
      </c>
      <c r="K21" s="215">
        <v>0</v>
      </c>
      <c r="L21" s="215">
        <f>$J$21+$K$21</f>
        <v>0</v>
      </c>
      <c r="M21" s="218">
        <f>IFERROR($L$21/'Table I'!$E$12*100,0)</f>
        <v>0</v>
      </c>
      <c r="N21" s="215">
        <v>0</v>
      </c>
      <c r="O21" s="215">
        <v>0</v>
      </c>
      <c r="P21" s="215">
        <v>0</v>
      </c>
      <c r="Q21" s="215">
        <f t="shared" si="0"/>
        <v>0</v>
      </c>
      <c r="R21" s="215">
        <f>$Q$21+$H$21</f>
        <v>0</v>
      </c>
      <c r="S21" s="218">
        <f>IFERROR(($R$21/('Table I'!$R$12)*100),0)</f>
        <v>0</v>
      </c>
      <c r="T21" s="223">
        <v>0</v>
      </c>
      <c r="U21" s="219">
        <f t="shared" si="1"/>
        <v>0</v>
      </c>
      <c r="V21" s="150"/>
      <c r="W21" s="255"/>
      <c r="X21" s="272"/>
      <c r="Y21" s="255"/>
      <c r="Z21" s="272"/>
      <c r="AA21" s="255"/>
      <c r="AB21" s="272"/>
      <c r="AC21" s="151"/>
      <c r="AD21" s="216">
        <v>0</v>
      </c>
      <c r="AE21" s="142">
        <v>0</v>
      </c>
      <c r="AF21" s="142">
        <v>0</v>
      </c>
      <c r="AG21" s="142">
        <v>0</v>
      </c>
    </row>
    <row r="22" spans="1:33" s="220" customFormat="1" ht="18.75" customHeight="1" x14ac:dyDescent="0.25">
      <c r="A22" s="141"/>
      <c r="B22" s="141" t="s">
        <v>255</v>
      </c>
      <c r="C22" s="140" t="s">
        <v>5</v>
      </c>
      <c r="D22" s="213">
        <v>0</v>
      </c>
      <c r="E22" s="223">
        <v>0</v>
      </c>
      <c r="F22" s="215">
        <v>0</v>
      </c>
      <c r="G22" s="215">
        <v>0</v>
      </c>
      <c r="H22" s="215">
        <f>$E$22+$F$22+$G$22</f>
        <v>0</v>
      </c>
      <c r="I22" s="218">
        <f>IFERROR($H$22/'Table I'!$E$12*100,0)</f>
        <v>0</v>
      </c>
      <c r="J22" s="215">
        <f>$H$22</f>
        <v>0</v>
      </c>
      <c r="K22" s="215">
        <v>0</v>
      </c>
      <c r="L22" s="215">
        <f>$J$22+$K$22</f>
        <v>0</v>
      </c>
      <c r="M22" s="218">
        <f>IFERROR($L$22/'Table I'!$E$12*100,0)</f>
        <v>0</v>
      </c>
      <c r="N22" s="215">
        <v>0</v>
      </c>
      <c r="O22" s="215">
        <v>0</v>
      </c>
      <c r="P22" s="215">
        <v>0</v>
      </c>
      <c r="Q22" s="215">
        <f t="shared" si="0"/>
        <v>0</v>
      </c>
      <c r="R22" s="215">
        <f>$Q$22+$H$22</f>
        <v>0</v>
      </c>
      <c r="S22" s="218">
        <f>IFERROR(($R$22/('Table I'!$R$12)*100),0)</f>
        <v>0</v>
      </c>
      <c r="T22" s="223">
        <v>0</v>
      </c>
      <c r="U22" s="219">
        <f t="shared" si="1"/>
        <v>0</v>
      </c>
      <c r="V22" s="150"/>
      <c r="W22" s="255"/>
      <c r="X22" s="272"/>
      <c r="Y22" s="255"/>
      <c r="Z22" s="272"/>
      <c r="AA22" s="255"/>
      <c r="AB22" s="272"/>
      <c r="AC22" s="151"/>
      <c r="AD22" s="216">
        <v>0</v>
      </c>
      <c r="AE22" s="142">
        <v>0</v>
      </c>
      <c r="AF22" s="142">
        <v>0</v>
      </c>
      <c r="AG22" s="142">
        <v>0</v>
      </c>
    </row>
    <row r="23" spans="1:33" s="220" customFormat="1" ht="18.75" customHeight="1" x14ac:dyDescent="0.25">
      <c r="A23" s="141"/>
      <c r="B23" s="141" t="s">
        <v>240</v>
      </c>
      <c r="C23" s="140" t="s">
        <v>5</v>
      </c>
      <c r="D23" s="213">
        <v>0</v>
      </c>
      <c r="E23" s="223">
        <v>0</v>
      </c>
      <c r="F23" s="215">
        <v>0</v>
      </c>
      <c r="G23" s="215">
        <v>0</v>
      </c>
      <c r="H23" s="215">
        <f>$E$23+$F$23+$G$23</f>
        <v>0</v>
      </c>
      <c r="I23" s="218">
        <f>IFERROR($H$23/'Table I'!$E$12*100,0)</f>
        <v>0</v>
      </c>
      <c r="J23" s="215">
        <f>$H$23</f>
        <v>0</v>
      </c>
      <c r="K23" s="215">
        <v>0</v>
      </c>
      <c r="L23" s="215">
        <f>$J$23+$K$23</f>
        <v>0</v>
      </c>
      <c r="M23" s="218">
        <f>IFERROR($L$23/'Table I'!$E$12*100,0)</f>
        <v>0</v>
      </c>
      <c r="N23" s="215">
        <v>0</v>
      </c>
      <c r="O23" s="215">
        <v>0</v>
      </c>
      <c r="P23" s="215">
        <v>0</v>
      </c>
      <c r="Q23" s="215">
        <f t="shared" si="0"/>
        <v>0</v>
      </c>
      <c r="R23" s="215">
        <f>$Q$23+$H$23</f>
        <v>0</v>
      </c>
      <c r="S23" s="218">
        <f>IFERROR(($R$23/('Table I'!$R$12)*100),0)</f>
        <v>0</v>
      </c>
      <c r="T23" s="223">
        <v>0</v>
      </c>
      <c r="U23" s="219">
        <f t="shared" si="1"/>
        <v>0</v>
      </c>
      <c r="V23" s="150"/>
      <c r="W23" s="255"/>
      <c r="X23" s="272"/>
      <c r="Y23" s="255"/>
      <c r="Z23" s="272"/>
      <c r="AA23" s="255"/>
      <c r="AB23" s="272"/>
      <c r="AC23" s="151"/>
      <c r="AD23" s="216">
        <v>0</v>
      </c>
      <c r="AE23" s="142">
        <v>0</v>
      </c>
      <c r="AF23" s="142">
        <v>0</v>
      </c>
      <c r="AG23" s="142">
        <v>0</v>
      </c>
    </row>
    <row r="24" spans="1:33" s="220" customFormat="1" ht="18.75" customHeight="1" x14ac:dyDescent="0.25">
      <c r="A24" s="141"/>
      <c r="B24" s="141" t="s">
        <v>243</v>
      </c>
      <c r="C24" s="140" t="s">
        <v>5</v>
      </c>
      <c r="D24" s="213">
        <v>0</v>
      </c>
      <c r="E24" s="223">
        <v>0</v>
      </c>
      <c r="F24" s="215">
        <v>0</v>
      </c>
      <c r="G24" s="215">
        <v>0</v>
      </c>
      <c r="H24" s="215">
        <f>$E$24+$F$24+$G$24</f>
        <v>0</v>
      </c>
      <c r="I24" s="218">
        <f>IFERROR($H$24/'Table I'!$E$12*100,0)</f>
        <v>0</v>
      </c>
      <c r="J24" s="215">
        <f>$H$24</f>
        <v>0</v>
      </c>
      <c r="K24" s="215">
        <v>0</v>
      </c>
      <c r="L24" s="215">
        <f>$J$24+$K$24</f>
        <v>0</v>
      </c>
      <c r="M24" s="218">
        <f>IFERROR($L$24/'Table I'!$E$12*100,0)</f>
        <v>0</v>
      </c>
      <c r="N24" s="215">
        <v>0</v>
      </c>
      <c r="O24" s="215">
        <v>0</v>
      </c>
      <c r="P24" s="215">
        <v>0</v>
      </c>
      <c r="Q24" s="215">
        <f t="shared" si="0"/>
        <v>0</v>
      </c>
      <c r="R24" s="215">
        <f>$Q$24+$H$24</f>
        <v>0</v>
      </c>
      <c r="S24" s="218">
        <f>IFERROR(($R$24/('Table I'!$R$12)*100),0)</f>
        <v>0</v>
      </c>
      <c r="T24" s="223">
        <v>0</v>
      </c>
      <c r="U24" s="219">
        <f t="shared" si="1"/>
        <v>0</v>
      </c>
      <c r="V24" s="150"/>
      <c r="W24" s="255"/>
      <c r="X24" s="272"/>
      <c r="Y24" s="255"/>
      <c r="Z24" s="272"/>
      <c r="AA24" s="255"/>
      <c r="AB24" s="272"/>
      <c r="AC24" s="151"/>
      <c r="AD24" s="216">
        <v>0</v>
      </c>
      <c r="AE24" s="142">
        <v>0</v>
      </c>
      <c r="AF24" s="142">
        <v>0</v>
      </c>
      <c r="AG24" s="142">
        <v>0</v>
      </c>
    </row>
    <row r="25" spans="1:33" s="220" customFormat="1" ht="18.75" customHeight="1" x14ac:dyDescent="0.25">
      <c r="A25" s="141"/>
      <c r="B25" s="141" t="s">
        <v>244</v>
      </c>
      <c r="C25" s="140" t="s">
        <v>5</v>
      </c>
      <c r="D25" s="213">
        <v>0</v>
      </c>
      <c r="E25" s="223">
        <v>0</v>
      </c>
      <c r="F25" s="215">
        <v>0</v>
      </c>
      <c r="G25" s="215">
        <v>0</v>
      </c>
      <c r="H25" s="215">
        <f>$E$25+$F$25+$G$25</f>
        <v>0</v>
      </c>
      <c r="I25" s="218">
        <f>IFERROR($H$25/'Table I'!$E$12*100,0)</f>
        <v>0</v>
      </c>
      <c r="J25" s="215">
        <f>$H$25</f>
        <v>0</v>
      </c>
      <c r="K25" s="215">
        <v>0</v>
      </c>
      <c r="L25" s="215">
        <f>$J$25+$K$25</f>
        <v>0</v>
      </c>
      <c r="M25" s="218">
        <f>IFERROR($L$25/'Table I'!$E$12*100,0)</f>
        <v>0</v>
      </c>
      <c r="N25" s="215">
        <v>0</v>
      </c>
      <c r="O25" s="215">
        <v>0</v>
      </c>
      <c r="P25" s="215">
        <v>0</v>
      </c>
      <c r="Q25" s="215">
        <f t="shared" si="0"/>
        <v>0</v>
      </c>
      <c r="R25" s="215">
        <f>$Q$25+$H$25</f>
        <v>0</v>
      </c>
      <c r="S25" s="218">
        <f>IFERROR(($R$25/('Table I'!$R$12)*100),0)</f>
        <v>0</v>
      </c>
      <c r="T25" s="223">
        <v>0</v>
      </c>
      <c r="U25" s="219">
        <f t="shared" si="1"/>
        <v>0</v>
      </c>
      <c r="V25" s="150"/>
      <c r="W25" s="255"/>
      <c r="X25" s="272"/>
      <c r="Y25" s="255"/>
      <c r="Z25" s="272"/>
      <c r="AA25" s="255"/>
      <c r="AB25" s="272"/>
      <c r="AC25" s="151"/>
      <c r="AD25" s="216">
        <v>0</v>
      </c>
      <c r="AE25" s="142">
        <v>0</v>
      </c>
      <c r="AF25" s="142">
        <v>0</v>
      </c>
      <c r="AG25" s="142">
        <v>0</v>
      </c>
    </row>
    <row r="26" spans="1:33" s="220" customFormat="1" ht="18.75" customHeight="1" x14ac:dyDescent="0.25">
      <c r="A26" s="141"/>
      <c r="B26" s="141" t="s">
        <v>246</v>
      </c>
      <c r="C26" s="140" t="s">
        <v>5</v>
      </c>
      <c r="D26" s="213">
        <v>0</v>
      </c>
      <c r="E26" s="223">
        <v>0</v>
      </c>
      <c r="F26" s="215">
        <v>0</v>
      </c>
      <c r="G26" s="215">
        <v>0</v>
      </c>
      <c r="H26" s="215">
        <f>$E$26+$F$26+$G$26</f>
        <v>0</v>
      </c>
      <c r="I26" s="218">
        <f>IFERROR($H$26/'Table I'!$E$12*100,0)</f>
        <v>0</v>
      </c>
      <c r="J26" s="215">
        <f>$H$26</f>
        <v>0</v>
      </c>
      <c r="K26" s="215">
        <v>0</v>
      </c>
      <c r="L26" s="215">
        <f>$J$26+$K$26</f>
        <v>0</v>
      </c>
      <c r="M26" s="218">
        <f>IFERROR($L$26/'Table I'!$E$12*100,0)</f>
        <v>0</v>
      </c>
      <c r="N26" s="215">
        <v>0</v>
      </c>
      <c r="O26" s="215">
        <v>0</v>
      </c>
      <c r="P26" s="215">
        <v>0</v>
      </c>
      <c r="Q26" s="215">
        <f t="shared" si="0"/>
        <v>0</v>
      </c>
      <c r="R26" s="215">
        <f>$Q$26+$H$26</f>
        <v>0</v>
      </c>
      <c r="S26" s="218">
        <f>IFERROR(($R$26/('Table I'!$R$12)*100),0)</f>
        <v>0</v>
      </c>
      <c r="T26" s="223">
        <v>0</v>
      </c>
      <c r="U26" s="219">
        <f t="shared" si="1"/>
        <v>0</v>
      </c>
      <c r="V26" s="150"/>
      <c r="W26" s="255"/>
      <c r="X26" s="272"/>
      <c r="Y26" s="255"/>
      <c r="Z26" s="272"/>
      <c r="AA26" s="255"/>
      <c r="AB26" s="272"/>
      <c r="AC26" s="151"/>
      <c r="AD26" s="216">
        <v>0</v>
      </c>
      <c r="AE26" s="142">
        <v>0</v>
      </c>
      <c r="AF26" s="142">
        <v>0</v>
      </c>
      <c r="AG26" s="142">
        <v>0</v>
      </c>
    </row>
    <row r="27" spans="1:33" s="220" customFormat="1" ht="18.75" customHeight="1" x14ac:dyDescent="0.25">
      <c r="A27" s="141"/>
      <c r="B27" s="141" t="s">
        <v>256</v>
      </c>
      <c r="C27" s="140" t="s">
        <v>5</v>
      </c>
      <c r="D27" s="213">
        <v>0</v>
      </c>
      <c r="E27" s="223">
        <v>0</v>
      </c>
      <c r="F27" s="215">
        <v>0</v>
      </c>
      <c r="G27" s="215">
        <v>0</v>
      </c>
      <c r="H27" s="215">
        <f>$E$27+$F$27+$G$27</f>
        <v>0</v>
      </c>
      <c r="I27" s="218">
        <f>IFERROR($H$27/'Table I'!$E$12*100,0)</f>
        <v>0</v>
      </c>
      <c r="J27" s="215">
        <f>$H$27</f>
        <v>0</v>
      </c>
      <c r="K27" s="215">
        <v>0</v>
      </c>
      <c r="L27" s="215">
        <f>$J$27+$K$27</f>
        <v>0</v>
      </c>
      <c r="M27" s="218">
        <f>IFERROR($L$27/'Table I'!$E$12*100,0)</f>
        <v>0</v>
      </c>
      <c r="N27" s="215">
        <v>0</v>
      </c>
      <c r="O27" s="215">
        <v>0</v>
      </c>
      <c r="P27" s="215">
        <v>0</v>
      </c>
      <c r="Q27" s="215">
        <f t="shared" si="0"/>
        <v>0</v>
      </c>
      <c r="R27" s="215">
        <f>$Q$27+$H$27</f>
        <v>0</v>
      </c>
      <c r="S27" s="218">
        <f>IFERROR(($R$27/('Table I'!$R$12)*100),0)</f>
        <v>0</v>
      </c>
      <c r="T27" s="223">
        <v>0</v>
      </c>
      <c r="U27" s="219">
        <f t="shared" si="1"/>
        <v>0</v>
      </c>
      <c r="V27" s="150"/>
      <c r="W27" s="255"/>
      <c r="X27" s="272"/>
      <c r="Y27" s="255"/>
      <c r="Z27" s="272"/>
      <c r="AA27" s="255"/>
      <c r="AB27" s="272"/>
      <c r="AC27" s="151"/>
      <c r="AD27" s="216">
        <v>0</v>
      </c>
      <c r="AE27" s="142">
        <v>0</v>
      </c>
      <c r="AF27" s="142">
        <v>0</v>
      </c>
      <c r="AG27" s="142">
        <v>0</v>
      </c>
    </row>
    <row r="28" spans="1:33" s="220" customFormat="1" ht="18.75" customHeight="1" x14ac:dyDescent="0.25">
      <c r="A28" s="141"/>
      <c r="B28" s="141" t="s">
        <v>258</v>
      </c>
      <c r="C28" s="140" t="s">
        <v>5</v>
      </c>
      <c r="D28" s="213">
        <v>0</v>
      </c>
      <c r="E28" s="223">
        <v>0</v>
      </c>
      <c r="F28" s="215">
        <v>0</v>
      </c>
      <c r="G28" s="215">
        <v>0</v>
      </c>
      <c r="H28" s="215">
        <f>$E$28+$F$28+$G$28</f>
        <v>0</v>
      </c>
      <c r="I28" s="218">
        <f>IFERROR($H$28/'Table I'!$E$12*100,0)</f>
        <v>0</v>
      </c>
      <c r="J28" s="215">
        <f>$H$28</f>
        <v>0</v>
      </c>
      <c r="K28" s="215">
        <v>0</v>
      </c>
      <c r="L28" s="215">
        <f>$J$28+$K$28</f>
        <v>0</v>
      </c>
      <c r="M28" s="218">
        <f>IFERROR($L$28/'Table I'!$E$12*100,0)</f>
        <v>0</v>
      </c>
      <c r="N28" s="215">
        <v>0</v>
      </c>
      <c r="O28" s="215">
        <v>0</v>
      </c>
      <c r="P28" s="215">
        <v>0</v>
      </c>
      <c r="Q28" s="215">
        <f t="shared" si="0"/>
        <v>0</v>
      </c>
      <c r="R28" s="215">
        <f>$Q$28+$H$28</f>
        <v>0</v>
      </c>
      <c r="S28" s="218">
        <f>IFERROR(($R$28/('Table I'!$R$12)*100),0)</f>
        <v>0</v>
      </c>
      <c r="T28" s="223">
        <v>0</v>
      </c>
      <c r="U28" s="219">
        <f t="shared" si="1"/>
        <v>0</v>
      </c>
      <c r="V28" s="150"/>
      <c r="W28" s="255"/>
      <c r="X28" s="272"/>
      <c r="Y28" s="255"/>
      <c r="Z28" s="272"/>
      <c r="AA28" s="255"/>
      <c r="AB28" s="272"/>
      <c r="AC28" s="151"/>
      <c r="AD28" s="216">
        <v>0</v>
      </c>
      <c r="AE28" s="142">
        <v>0</v>
      </c>
      <c r="AF28" s="142">
        <v>0</v>
      </c>
      <c r="AG28" s="142">
        <v>0</v>
      </c>
    </row>
    <row r="29" spans="1:33" s="220" customFormat="1" ht="19.5" customHeight="1" x14ac:dyDescent="0.25">
      <c r="A29" s="262"/>
      <c r="B29" s="263" t="s">
        <v>87</v>
      </c>
      <c r="C29" s="262" t="s">
        <v>5</v>
      </c>
      <c r="D29" s="264">
        <f>$D$18+$D$17+$D$16+$D$15+$D$14+$D$13+$D$12+$D$11+$D$10+$D$9+$D$8</f>
        <v>0</v>
      </c>
      <c r="E29" s="265">
        <f>$E$18+$E$17+$E$16+$E$15+$E$14+$E$13+$E$12+$E$11+$E$10+$E$9+$E$8</f>
        <v>0</v>
      </c>
      <c r="F29" s="265">
        <f>$F$8+$F$9+$F$10+$F$11+$F$12+$F$13+$F$14+$F$15+$F$16+$F$17+$F$18</f>
        <v>0</v>
      </c>
      <c r="G29" s="265">
        <f>$G$8+$G$9+$G$10+$G$11+$G$12+$G$13+$G$14+$G$15+$G$16+$G$17+$G$18</f>
        <v>0</v>
      </c>
      <c r="H29" s="265">
        <f>$E$29+$F$29+$G$29</f>
        <v>0</v>
      </c>
      <c r="I29" s="266">
        <f>IFERROR($H$29/'Table I'!$E$12*100,0)</f>
        <v>0</v>
      </c>
      <c r="J29" s="265">
        <f>$H$29</f>
        <v>0</v>
      </c>
      <c r="K29" s="265">
        <f>$K$8+$K$9+$K$10+$K$11+$K$12+$K$13+$K$14+$K$15+$K$16+$K$17+$K$18</f>
        <v>0</v>
      </c>
      <c r="L29" s="265">
        <f>$J$29+$K$29</f>
        <v>0</v>
      </c>
      <c r="M29" s="266">
        <f>IFERROR($L$29/'Table I'!$E$12*100,0)</f>
        <v>0</v>
      </c>
      <c r="N29" s="265">
        <f>$N$18+$N$17+$N$16+$N$15+$N$14+$N$13+$N$12+$N$11+$N$10+$N$9+$N$8</f>
        <v>0</v>
      </c>
      <c r="O29" s="265">
        <f>$O$18+$O$17+$O$16+$O$15+$O$14+$O$13+$O$12+$O$11+$O$10+$O$9+$O$8</f>
        <v>0</v>
      </c>
      <c r="P29" s="265">
        <f>$P$18+$P$17+$P$16+$P$15+$P$14+$P$13+$P$12+$P$11+$P$10+$P$9+$P$8</f>
        <v>0</v>
      </c>
      <c r="Q29" s="265">
        <f>$P$29+$O$29+$N$29</f>
        <v>0</v>
      </c>
      <c r="R29" s="265">
        <f>$Q$29+$H$29</f>
        <v>0</v>
      </c>
      <c r="S29" s="266">
        <f>IFERROR(($R$29/('Table I'!$R$12)*100),0)</f>
        <v>0</v>
      </c>
      <c r="T29" s="265">
        <f>$T$18+$T$17+$T$16+$T$15+$T$14+$T$13+$T$12+$T$11+$T$10+$T$9+$T$8</f>
        <v>0</v>
      </c>
      <c r="U29" s="330">
        <f>IFERROR($T$29/$E$29*100,0)</f>
        <v>0</v>
      </c>
      <c r="V29" s="332"/>
      <c r="W29" s="152"/>
      <c r="X29" s="153"/>
      <c r="Y29" s="152"/>
      <c r="Z29" s="153"/>
      <c r="AA29" s="152"/>
      <c r="AB29" s="153"/>
      <c r="AC29" s="333"/>
      <c r="AD29" s="331">
        <f>$AD$18+$AD$17+$AD$16+$AD$15+$AD$14+$AD$13+$AD$12+$AD$11+$AD$10+$AD$9+$AD$8</f>
        <v>0</v>
      </c>
      <c r="AE29" s="271">
        <f>$AE$18+$AE$17+$AE$16+$AE$15+$AE$14+$AE$13+$AE$12+$AE$11+$AE$10+$AE$9+$AE$8</f>
        <v>0</v>
      </c>
      <c r="AF29" s="271">
        <f>$AF$18+$AF$17+$AF$16+$AF$15+$AF$14+$AF$13+$AF$12+$AF$11+$AF$10+$AF$9+$AF$8</f>
        <v>0</v>
      </c>
      <c r="AG29" s="271">
        <f>$AG$18+$AG$17+$AG$16+$AG$15+$AG$14+$AG$13+$AG$12+$AG$11+$AG$10+$AG$9+$AG$8</f>
        <v>0</v>
      </c>
    </row>
    <row r="30" spans="1:33" s="10" customFormat="1" ht="24.75" customHeight="1" x14ac:dyDescent="0.25">
      <c r="A30" s="230" t="s">
        <v>114</v>
      </c>
      <c r="B30" s="377" t="s">
        <v>88</v>
      </c>
      <c r="C30" s="377"/>
      <c r="D30" s="377"/>
      <c r="E30" s="377"/>
      <c r="F30" s="377"/>
      <c r="G30" s="377"/>
      <c r="H30" s="377"/>
      <c r="I30" s="377"/>
      <c r="J30" s="377"/>
      <c r="K30" s="377"/>
      <c r="L30" s="377"/>
      <c r="M30" s="377"/>
      <c r="N30" s="377"/>
      <c r="O30" s="377"/>
      <c r="P30" s="377"/>
      <c r="Q30" s="377"/>
      <c r="R30" s="377"/>
      <c r="S30" s="377"/>
      <c r="T30" s="377"/>
      <c r="U30" s="377"/>
      <c r="V30" s="378"/>
      <c r="W30" s="378"/>
      <c r="X30" s="378"/>
      <c r="Y30" s="378"/>
      <c r="Z30" s="378"/>
      <c r="AA30" s="378"/>
      <c r="AB30" s="378"/>
      <c r="AC30" s="378"/>
      <c r="AD30" s="377"/>
      <c r="AE30" s="377"/>
      <c r="AF30" s="377"/>
      <c r="AG30" s="377"/>
    </row>
    <row r="31" spans="1:33" s="222" customFormat="1" ht="21" customHeight="1" x14ac:dyDescent="0.25">
      <c r="A31" s="141" t="s">
        <v>53</v>
      </c>
      <c r="B31" s="141" t="s">
        <v>89</v>
      </c>
      <c r="C31" s="140" t="s">
        <v>5</v>
      </c>
      <c r="D31" s="228">
        <v>0</v>
      </c>
      <c r="E31" s="229">
        <v>0</v>
      </c>
      <c r="F31" s="221">
        <v>0</v>
      </c>
      <c r="G31" s="221">
        <v>0</v>
      </c>
      <c r="H31" s="221">
        <f>$E$31+$F$31+$G$31</f>
        <v>0</v>
      </c>
      <c r="I31" s="224">
        <f>IFERROR($H$31/'Table I'!$E$12*100,0)</f>
        <v>0</v>
      </c>
      <c r="J31" s="221">
        <f>$H$31</f>
        <v>0</v>
      </c>
      <c r="K31" s="221">
        <v>0</v>
      </c>
      <c r="L31" s="221">
        <f>$J$31+$K$31</f>
        <v>0</v>
      </c>
      <c r="M31" s="224">
        <f>IFERROR($L$31/'Table I'!$E$12*100,0)</f>
        <v>0</v>
      </c>
      <c r="N31" s="221">
        <v>0</v>
      </c>
      <c r="O31" s="221">
        <v>0</v>
      </c>
      <c r="P31" s="221">
        <v>0</v>
      </c>
      <c r="Q31" s="221">
        <f>$N$31+$O$31+$P$31</f>
        <v>0</v>
      </c>
      <c r="R31" s="221">
        <f>$Q$31+$H$31</f>
        <v>0</v>
      </c>
      <c r="S31" s="218">
        <f>IFERROR(($R$31/('Table I'!$R$12)*100),0)</f>
        <v>0</v>
      </c>
      <c r="T31" s="229">
        <v>0</v>
      </c>
      <c r="U31" s="225">
        <f>IFERROR($T$31/$E$31*100,0)</f>
        <v>0</v>
      </c>
      <c r="V31" s="154"/>
      <c r="W31" s="155"/>
      <c r="X31" s="156"/>
      <c r="Y31" s="155"/>
      <c r="Z31" s="156"/>
      <c r="AA31" s="155"/>
      <c r="AB31" s="156"/>
      <c r="AC31" s="157"/>
      <c r="AD31" s="226">
        <v>0</v>
      </c>
      <c r="AE31" s="143">
        <v>0</v>
      </c>
      <c r="AF31" s="143">
        <v>0</v>
      </c>
      <c r="AG31" s="143">
        <v>0</v>
      </c>
    </row>
    <row r="32" spans="1:33" s="222" customFormat="1" ht="21" customHeight="1" x14ac:dyDescent="0.25">
      <c r="A32" s="141" t="s">
        <v>54</v>
      </c>
      <c r="B32" s="141" t="s">
        <v>90</v>
      </c>
      <c r="C32" s="140" t="s">
        <v>5</v>
      </c>
      <c r="D32" s="228">
        <v>0</v>
      </c>
      <c r="E32" s="229">
        <v>0</v>
      </c>
      <c r="F32" s="221">
        <v>0</v>
      </c>
      <c r="G32" s="221">
        <v>0</v>
      </c>
      <c r="H32" s="221">
        <f>$E$32+$F$32+$G$32</f>
        <v>0</v>
      </c>
      <c r="I32" s="224">
        <f>IFERROR($H$32/'Table I'!$E$12*100,0)</f>
        <v>0</v>
      </c>
      <c r="J32" s="221">
        <f>$H$32</f>
        <v>0</v>
      </c>
      <c r="K32" s="221">
        <v>0</v>
      </c>
      <c r="L32" s="221">
        <f>$J$32+$K$32</f>
        <v>0</v>
      </c>
      <c r="M32" s="224">
        <f>IFERROR($L$32/'Table I'!$E$12*100,0)</f>
        <v>0</v>
      </c>
      <c r="N32" s="221">
        <v>0</v>
      </c>
      <c r="O32" s="221">
        <v>0</v>
      </c>
      <c r="P32" s="221">
        <v>0</v>
      </c>
      <c r="Q32" s="221">
        <f>$N$32+$O$32+$P$32</f>
        <v>0</v>
      </c>
      <c r="R32" s="221">
        <f>$Q$32+$H$32</f>
        <v>0</v>
      </c>
      <c r="S32" s="218">
        <f>IFERROR(($R$32/('Table I'!$R$12)*100),0)</f>
        <v>0</v>
      </c>
      <c r="T32" s="229">
        <v>0</v>
      </c>
      <c r="U32" s="225">
        <f>IFERROR($T$32/$E$32*100,0)</f>
        <v>0</v>
      </c>
      <c r="V32" s="158"/>
      <c r="W32" s="326"/>
      <c r="X32" s="327"/>
      <c r="Y32" s="326"/>
      <c r="Z32" s="327"/>
      <c r="AA32" s="326"/>
      <c r="AB32" s="327"/>
      <c r="AC32" s="159"/>
      <c r="AD32" s="226">
        <v>0</v>
      </c>
      <c r="AE32" s="143">
        <v>0</v>
      </c>
      <c r="AF32" s="143">
        <v>0</v>
      </c>
      <c r="AG32" s="143">
        <v>0</v>
      </c>
    </row>
    <row r="33" spans="1:33" s="222" customFormat="1" ht="21" customHeight="1" x14ac:dyDescent="0.25">
      <c r="A33" s="141" t="s">
        <v>55</v>
      </c>
      <c r="B33" s="141" t="s">
        <v>81</v>
      </c>
      <c r="C33" s="140" t="s">
        <v>5</v>
      </c>
      <c r="D33" s="228">
        <v>0</v>
      </c>
      <c r="E33" s="229">
        <v>0</v>
      </c>
      <c r="F33" s="221">
        <v>0</v>
      </c>
      <c r="G33" s="221">
        <v>0</v>
      </c>
      <c r="H33" s="221">
        <f>$E$33+$F$33+$G$33</f>
        <v>0</v>
      </c>
      <c r="I33" s="224">
        <f>IFERROR($H$33/'Table I'!$E$12*100,0)</f>
        <v>0</v>
      </c>
      <c r="J33" s="221">
        <f>$H$33</f>
        <v>0</v>
      </c>
      <c r="K33" s="221">
        <v>0</v>
      </c>
      <c r="L33" s="221">
        <f>$J$33+$K$33</f>
        <v>0</v>
      </c>
      <c r="M33" s="224">
        <f>IFERROR($L$33/'Table I'!$E$12*100,0)</f>
        <v>0</v>
      </c>
      <c r="N33" s="221">
        <v>0</v>
      </c>
      <c r="O33" s="221">
        <v>0</v>
      </c>
      <c r="P33" s="221">
        <v>0</v>
      </c>
      <c r="Q33" s="221">
        <f>$N$33+$O$33+$P$33</f>
        <v>0</v>
      </c>
      <c r="R33" s="221">
        <f>$Q$33+$H$33</f>
        <v>0</v>
      </c>
      <c r="S33" s="218">
        <f>IFERROR(($R$33/('Table I'!$R$12)*100),0)</f>
        <v>0</v>
      </c>
      <c r="T33" s="229">
        <v>0</v>
      </c>
      <c r="U33" s="225">
        <f>IFERROR($T$33/$E$33*100,0)</f>
        <v>0</v>
      </c>
      <c r="V33" s="158"/>
      <c r="W33" s="326"/>
      <c r="X33" s="327"/>
      <c r="Y33" s="326"/>
      <c r="Z33" s="327"/>
      <c r="AA33" s="326"/>
      <c r="AB33" s="327"/>
      <c r="AC33" s="159"/>
      <c r="AD33" s="226">
        <v>0</v>
      </c>
      <c r="AE33" s="143">
        <v>0</v>
      </c>
      <c r="AF33" s="143">
        <v>0</v>
      </c>
      <c r="AG33" s="143">
        <v>0</v>
      </c>
    </row>
    <row r="34" spans="1:33" s="222" customFormat="1" ht="21" customHeight="1" x14ac:dyDescent="0.25">
      <c r="A34" s="141" t="s">
        <v>56</v>
      </c>
      <c r="B34" s="141" t="s">
        <v>91</v>
      </c>
      <c r="C34" s="140" t="s">
        <v>5</v>
      </c>
      <c r="D34" s="228">
        <v>0</v>
      </c>
      <c r="E34" s="229">
        <v>0</v>
      </c>
      <c r="F34" s="221">
        <v>0</v>
      </c>
      <c r="G34" s="221">
        <v>0</v>
      </c>
      <c r="H34" s="221">
        <f>$E$34+$F$34+$G$34</f>
        <v>0</v>
      </c>
      <c r="I34" s="224">
        <f>IFERROR($H$34/'Table I'!$E$12*100,0)</f>
        <v>0</v>
      </c>
      <c r="J34" s="221">
        <f>$H$34</f>
        <v>0</v>
      </c>
      <c r="K34" s="221">
        <v>0</v>
      </c>
      <c r="L34" s="221">
        <f>$J$34+$K$34</f>
        <v>0</v>
      </c>
      <c r="M34" s="224">
        <f>IFERROR($L$34/'Table I'!$E$12*100,0)</f>
        <v>0</v>
      </c>
      <c r="N34" s="221">
        <v>0</v>
      </c>
      <c r="O34" s="221">
        <v>0</v>
      </c>
      <c r="P34" s="221">
        <v>0</v>
      </c>
      <c r="Q34" s="221">
        <f>$N$34+$O$34+$P$34</f>
        <v>0</v>
      </c>
      <c r="R34" s="221">
        <f>$Q$34+$H$34</f>
        <v>0</v>
      </c>
      <c r="S34" s="218">
        <f>IFERROR(($R$34/('Table I'!$R$12)*100),0)</f>
        <v>0</v>
      </c>
      <c r="T34" s="229">
        <v>0</v>
      </c>
      <c r="U34" s="225">
        <f>IFERROR($T$34/$E$34*100,0)</f>
        <v>0</v>
      </c>
      <c r="V34" s="158"/>
      <c r="W34" s="326"/>
      <c r="X34" s="327"/>
      <c r="Y34" s="326"/>
      <c r="Z34" s="327"/>
      <c r="AA34" s="326"/>
      <c r="AB34" s="327"/>
      <c r="AC34" s="159"/>
      <c r="AD34" s="226">
        <v>0</v>
      </c>
      <c r="AE34" s="143">
        <v>0</v>
      </c>
      <c r="AF34" s="143">
        <v>0</v>
      </c>
      <c r="AG34" s="143">
        <v>0</v>
      </c>
    </row>
    <row r="35" spans="1:33" s="222" customFormat="1" ht="21" customHeight="1" x14ac:dyDescent="0.25">
      <c r="A35" s="141" t="s">
        <v>77</v>
      </c>
      <c r="B35" s="141" t="s">
        <v>92</v>
      </c>
      <c r="C35" s="140" t="s">
        <v>5</v>
      </c>
      <c r="D35" s="228">
        <v>0</v>
      </c>
      <c r="E35" s="229">
        <v>0</v>
      </c>
      <c r="F35" s="221">
        <v>0</v>
      </c>
      <c r="G35" s="221">
        <v>0</v>
      </c>
      <c r="H35" s="221">
        <f>$E$35+$F$35+$G$35</f>
        <v>0</v>
      </c>
      <c r="I35" s="224">
        <f>IFERROR($H$35/'Table I'!$E$12*100,0)</f>
        <v>0</v>
      </c>
      <c r="J35" s="221">
        <f>$H$35</f>
        <v>0</v>
      </c>
      <c r="K35" s="221">
        <v>0</v>
      </c>
      <c r="L35" s="221">
        <f>$J$35+$K$35</f>
        <v>0</v>
      </c>
      <c r="M35" s="224">
        <f>IFERROR($L$35/'Table I'!$E$12*100,0)</f>
        <v>0</v>
      </c>
      <c r="N35" s="221">
        <v>0</v>
      </c>
      <c r="O35" s="221">
        <v>0</v>
      </c>
      <c r="P35" s="221">
        <v>0</v>
      </c>
      <c r="Q35" s="221">
        <f>$N$35+$O$35+$P$35</f>
        <v>0</v>
      </c>
      <c r="R35" s="221">
        <f>$Q$35+$H$35</f>
        <v>0</v>
      </c>
      <c r="S35" s="218">
        <f>IFERROR(($R$35/('Table I'!$R$12)*100),0)</f>
        <v>0</v>
      </c>
      <c r="T35" s="229">
        <v>0</v>
      </c>
      <c r="U35" s="225">
        <f>IFERROR($T$35/$E$35*100,0)</f>
        <v>0</v>
      </c>
      <c r="V35" s="158"/>
      <c r="W35" s="326"/>
      <c r="X35" s="327"/>
      <c r="Y35" s="326"/>
      <c r="Z35" s="327"/>
      <c r="AA35" s="326"/>
      <c r="AB35" s="327"/>
      <c r="AC35" s="159"/>
      <c r="AD35" s="226">
        <v>0</v>
      </c>
      <c r="AE35" s="143">
        <v>0</v>
      </c>
      <c r="AF35" s="143">
        <v>0</v>
      </c>
      <c r="AG35" s="143">
        <v>0</v>
      </c>
    </row>
    <row r="36" spans="1:33" s="222" customFormat="1" ht="33.75" customHeight="1" x14ac:dyDescent="0.25">
      <c r="A36" s="141" t="s">
        <v>61</v>
      </c>
      <c r="B36" s="141" t="s">
        <v>93</v>
      </c>
      <c r="C36" s="140" t="s">
        <v>5</v>
      </c>
      <c r="D36" s="228">
        <v>0</v>
      </c>
      <c r="E36" s="229">
        <v>0</v>
      </c>
      <c r="F36" s="221">
        <v>0</v>
      </c>
      <c r="G36" s="221">
        <v>0</v>
      </c>
      <c r="H36" s="221">
        <f>$E$36+$F$36+$G$36</f>
        <v>0</v>
      </c>
      <c r="I36" s="224">
        <f>IFERROR($H$36/'Table I'!$E$12*100,0)</f>
        <v>0</v>
      </c>
      <c r="J36" s="221">
        <f>$H$36</f>
        <v>0</v>
      </c>
      <c r="K36" s="221">
        <v>0</v>
      </c>
      <c r="L36" s="221">
        <f>$J$36+$K$36</f>
        <v>0</v>
      </c>
      <c r="M36" s="224">
        <f>IFERROR($L$36/'Table I'!$E$12*100,0)</f>
        <v>0</v>
      </c>
      <c r="N36" s="221">
        <v>0</v>
      </c>
      <c r="O36" s="221">
        <v>0</v>
      </c>
      <c r="P36" s="221">
        <v>0</v>
      </c>
      <c r="Q36" s="221">
        <f>$N$36+$O$36+$P$36</f>
        <v>0</v>
      </c>
      <c r="R36" s="221">
        <f>$Q$36+$H$36</f>
        <v>0</v>
      </c>
      <c r="S36" s="218">
        <f>IFERROR(($R$36/('Table I'!$R$12)*100),0)</f>
        <v>0</v>
      </c>
      <c r="T36" s="229">
        <v>0</v>
      </c>
      <c r="U36" s="225">
        <f>IFERROR($T$36/$E$36*100,0)</f>
        <v>0</v>
      </c>
      <c r="V36" s="158"/>
      <c r="W36" s="326"/>
      <c r="X36" s="327"/>
      <c r="Y36" s="326"/>
      <c r="Z36" s="327"/>
      <c r="AA36" s="326"/>
      <c r="AB36" s="327"/>
      <c r="AC36" s="159"/>
      <c r="AD36" s="226">
        <v>0</v>
      </c>
      <c r="AE36" s="143">
        <v>0</v>
      </c>
      <c r="AF36" s="143">
        <v>0</v>
      </c>
      <c r="AG36" s="143">
        <v>0</v>
      </c>
    </row>
    <row r="37" spans="1:33" s="222" customFormat="1" ht="21" customHeight="1" x14ac:dyDescent="0.25">
      <c r="A37" s="232" t="s">
        <v>79</v>
      </c>
      <c r="B37" s="232" t="s">
        <v>263</v>
      </c>
      <c r="C37" s="231" t="s">
        <v>5</v>
      </c>
      <c r="D37" s="238">
        <f>$D$38+$D$39+$D$40+$D$41+$D$42+$D$43+$D$44+$D$45+$D$46+$D$47+$D$48+$D$49+$D$50+$D$51</f>
        <v>0</v>
      </c>
      <c r="E37" s="239">
        <f>$E$38+$E$39+$E$40+$E$41+$E$42+$E$43+$E$44+$E$45+$E$46+$E$47+$E$48+$E$49+$E$50+$E$51</f>
        <v>0</v>
      </c>
      <c r="F37" s="240">
        <f>$F$38+$F$39+$F$40+$F$41+$F$42+$F$43+$F$44+$F$45+$F$46+$F$47+$F$48+$F$49+$F$50+$F$51</f>
        <v>0</v>
      </c>
      <c r="G37" s="240">
        <f>$G$38+$G$39+$G$40+$G$41+$G$42+$G$43+$G$44+$G$45+$G$46+$G$47+$G$48+$G$49+$G$50+$G$51</f>
        <v>0</v>
      </c>
      <c r="H37" s="240">
        <f>$E$37+$F$37+$G$37</f>
        <v>0</v>
      </c>
      <c r="I37" s="241">
        <f>IFERROR($H$37/'Table I'!$E$12*100,0)</f>
        <v>0</v>
      </c>
      <c r="J37" s="240">
        <f>$H$37</f>
        <v>0</v>
      </c>
      <c r="K37" s="240">
        <f>$K$38+$K$39+$K$40+$K$41+$K$42+$K$43+$K$44+$K$45+$K$46+$K$47+$K$48+$K$49+$K$50+$K$51</f>
        <v>0</v>
      </c>
      <c r="L37" s="240">
        <f>$J$37+$K$37</f>
        <v>0</v>
      </c>
      <c r="M37" s="241">
        <f>IFERROR($L$37/'Table I'!$E$12*100,0)</f>
        <v>0</v>
      </c>
      <c r="N37" s="240">
        <f>$N$38+$N$39+$N$40+$N$41+$N$42+$N$43+$N$44+$N$45+$N$46+$N$47+$N$48+$N$49+$N$50+$N$51</f>
        <v>0</v>
      </c>
      <c r="O37" s="240">
        <f>$O$38+$O$39+$O$40+$O$41+$O$42+$O$43+$O$44+$O$45+$O$46+$O$47+$O$48+$O$49+$O$50+$O$51</f>
        <v>0</v>
      </c>
      <c r="P37" s="240">
        <f>$P$38+$P$39+$P$40+$P$41+$P$42+$P$43+$P$44+$P$45+$P$46+$P$47+$P$48+$P$49+$P$50+$P$51</f>
        <v>0</v>
      </c>
      <c r="Q37" s="240">
        <f>$N$37+$O$37+$P$37</f>
        <v>0</v>
      </c>
      <c r="R37" s="240">
        <f>$Q$37+$H$37</f>
        <v>0</v>
      </c>
      <c r="S37" s="236">
        <f>IFERROR(($R$37/('Table I'!$R$12)*100),0)</f>
        <v>0</v>
      </c>
      <c r="T37" s="239">
        <f>$T$38+$T$39+$T$40+$T$41+$T$42+$T$43+$T$44+$T$45+$T$46+$T$47+$T$48+$T$49+$T$50+$T$51</f>
        <v>0</v>
      </c>
      <c r="U37" s="242">
        <f>IFERROR($T$37/$E$37*100,0)</f>
        <v>0</v>
      </c>
      <c r="V37" s="158"/>
      <c r="W37" s="326"/>
      <c r="X37" s="327"/>
      <c r="Y37" s="326"/>
      <c r="Z37" s="327"/>
      <c r="AA37" s="326"/>
      <c r="AB37" s="327"/>
      <c r="AC37" s="159"/>
      <c r="AD37" s="243">
        <v>0</v>
      </c>
      <c r="AE37" s="243">
        <f>$AE$38+$AE$39+$AE$40+$AE$41+$AE$42+$AE$43+$AE$44+$AE$45+$AE$46+$AE$47+$AE$48+$AE$49+$AE$50+$AE$51</f>
        <v>0</v>
      </c>
      <c r="AF37" s="243">
        <f>$AF$38+$AF$39+$AF$40+$AF$41+$AF$42+$AF$43+$AF$44+$AF$45+$AF$46+$AF$47+$AF$48+$AF$49+$AF$50+$AF$51</f>
        <v>0</v>
      </c>
      <c r="AG37" s="243">
        <f>$AG$38+$AG$39+$AG$40+$AG$41+$AG$42+$AG$43+$AG$44+$AG$45+$AG$46+$AG$47+$AG$48+$AG$49+$AG$50+$AG$51</f>
        <v>0</v>
      </c>
    </row>
    <row r="38" spans="1:33" s="220" customFormat="1" ht="18.75" customHeight="1" x14ac:dyDescent="0.25">
      <c r="A38" s="140"/>
      <c r="B38" s="141" t="s">
        <v>251</v>
      </c>
      <c r="C38" s="140" t="s">
        <v>5</v>
      </c>
      <c r="D38" s="213">
        <v>0</v>
      </c>
      <c r="E38" s="223">
        <v>0</v>
      </c>
      <c r="F38" s="215">
        <v>0</v>
      </c>
      <c r="G38" s="215">
        <v>0</v>
      </c>
      <c r="H38" s="215">
        <f>$E$38+$F$38+$G$38</f>
        <v>0</v>
      </c>
      <c r="I38" s="218">
        <f>IFERROR($H$38/'Table I'!$E$12*100,0)</f>
        <v>0</v>
      </c>
      <c r="J38" s="215">
        <f>$H$38</f>
        <v>0</v>
      </c>
      <c r="K38" s="215">
        <v>0</v>
      </c>
      <c r="L38" s="215">
        <f>$J$38+$K$38</f>
        <v>0</v>
      </c>
      <c r="M38" s="218">
        <f>IFERROR($L$38/'Table I'!$E$12*100,0)</f>
        <v>0</v>
      </c>
      <c r="N38" s="215">
        <v>0</v>
      </c>
      <c r="O38" s="215">
        <v>0</v>
      </c>
      <c r="P38" s="215">
        <v>0</v>
      </c>
      <c r="Q38" s="215">
        <f>$P$38+$O$38+$N$38</f>
        <v>0</v>
      </c>
      <c r="R38" s="215">
        <f>$Q$38+$H$38</f>
        <v>0</v>
      </c>
      <c r="S38" s="218">
        <f>IFERROR(($R$38/('Table I'!$R$12)*100),0)</f>
        <v>0</v>
      </c>
      <c r="T38" s="223">
        <v>0</v>
      </c>
      <c r="U38" s="219">
        <f>IFERROR($T$38/$E$38*100,0)</f>
        <v>0</v>
      </c>
      <c r="V38" s="150"/>
      <c r="W38" s="255"/>
      <c r="X38" s="272"/>
      <c r="Y38" s="255"/>
      <c r="Z38" s="272"/>
      <c r="AA38" s="255"/>
      <c r="AB38" s="272"/>
      <c r="AC38" s="151"/>
      <c r="AD38" s="216">
        <v>0</v>
      </c>
      <c r="AE38" s="142">
        <v>0</v>
      </c>
      <c r="AF38" s="142">
        <v>0</v>
      </c>
      <c r="AG38" s="142">
        <v>0</v>
      </c>
    </row>
    <row r="39" spans="1:33" s="220" customFormat="1" ht="18.75" customHeight="1" x14ac:dyDescent="0.25">
      <c r="A39" s="140"/>
      <c r="B39" s="141" t="s">
        <v>252</v>
      </c>
      <c r="C39" s="140" t="s">
        <v>5</v>
      </c>
      <c r="D39" s="213">
        <v>0</v>
      </c>
      <c r="E39" s="223">
        <v>0</v>
      </c>
      <c r="F39" s="215">
        <v>0</v>
      </c>
      <c r="G39" s="215">
        <v>0</v>
      </c>
      <c r="H39" s="215">
        <f>$E$39+$F$39+$G$39</f>
        <v>0</v>
      </c>
      <c r="I39" s="218">
        <f>IFERROR($H$39/'Table I'!$E$12*100,0)</f>
        <v>0</v>
      </c>
      <c r="J39" s="215">
        <f>$H$39</f>
        <v>0</v>
      </c>
      <c r="K39" s="215">
        <v>0</v>
      </c>
      <c r="L39" s="215">
        <f>$J$39+$K$39</f>
        <v>0</v>
      </c>
      <c r="M39" s="218">
        <f>IFERROR($L$39/'Table I'!$E$12*100,0)</f>
        <v>0</v>
      </c>
      <c r="N39" s="215">
        <v>0</v>
      </c>
      <c r="O39" s="215">
        <v>0</v>
      </c>
      <c r="P39" s="215">
        <v>0</v>
      </c>
      <c r="Q39" s="215">
        <f>$P$39+$O$39+$N$39</f>
        <v>0</v>
      </c>
      <c r="R39" s="215">
        <f>$Q$39+$H$39</f>
        <v>0</v>
      </c>
      <c r="S39" s="218">
        <f>IFERROR(($R$39/('Table I'!$R$12)*100),0)</f>
        <v>0</v>
      </c>
      <c r="T39" s="223">
        <v>0</v>
      </c>
      <c r="U39" s="219">
        <f>IFERROR($T$39/$E$39*100,0)</f>
        <v>0</v>
      </c>
      <c r="V39" s="150"/>
      <c r="W39" s="255"/>
      <c r="X39" s="272"/>
      <c r="Y39" s="255"/>
      <c r="Z39" s="272"/>
      <c r="AA39" s="255"/>
      <c r="AB39" s="272"/>
      <c r="AC39" s="151"/>
      <c r="AD39" s="216">
        <v>0</v>
      </c>
      <c r="AE39" s="142">
        <v>0</v>
      </c>
      <c r="AF39" s="142">
        <v>0</v>
      </c>
      <c r="AG39" s="142">
        <v>0</v>
      </c>
    </row>
    <row r="40" spans="1:33" s="220" customFormat="1" ht="18.75" customHeight="1" x14ac:dyDescent="0.25">
      <c r="A40" s="140"/>
      <c r="B40" s="141" t="s">
        <v>253</v>
      </c>
      <c r="C40" s="140" t="s">
        <v>5</v>
      </c>
      <c r="D40" s="213">
        <v>0</v>
      </c>
      <c r="E40" s="223">
        <v>0</v>
      </c>
      <c r="F40" s="215">
        <v>0</v>
      </c>
      <c r="G40" s="215">
        <v>0</v>
      </c>
      <c r="H40" s="215">
        <f>$E$40+$F$40+$G$40</f>
        <v>0</v>
      </c>
      <c r="I40" s="218">
        <f>IFERROR($H$40/'Table I'!$E$12*100,0)</f>
        <v>0</v>
      </c>
      <c r="J40" s="215">
        <f>$H$40</f>
        <v>0</v>
      </c>
      <c r="K40" s="215">
        <v>0</v>
      </c>
      <c r="L40" s="215">
        <f>$J$40+$K$40</f>
        <v>0</v>
      </c>
      <c r="M40" s="218">
        <f>IFERROR($L$40/'Table I'!$E$12*100,0)</f>
        <v>0</v>
      </c>
      <c r="N40" s="215">
        <v>0</v>
      </c>
      <c r="O40" s="215">
        <v>0</v>
      </c>
      <c r="P40" s="215">
        <v>0</v>
      </c>
      <c r="Q40" s="215">
        <f>$P$40+$O$40+$N$40</f>
        <v>0</v>
      </c>
      <c r="R40" s="215">
        <f>$Q$40+$H$40</f>
        <v>0</v>
      </c>
      <c r="S40" s="218">
        <f>IFERROR(($R$40/('Table I'!$R$12)*100),0)</f>
        <v>0</v>
      </c>
      <c r="T40" s="223">
        <v>0</v>
      </c>
      <c r="U40" s="219">
        <f>IFERROR($T$40/$E$40*100,0)</f>
        <v>0</v>
      </c>
      <c r="V40" s="150"/>
      <c r="W40" s="255"/>
      <c r="X40" s="272"/>
      <c r="Y40" s="255"/>
      <c r="Z40" s="272"/>
      <c r="AA40" s="255"/>
      <c r="AB40" s="272"/>
      <c r="AC40" s="151"/>
      <c r="AD40" s="216">
        <v>0</v>
      </c>
      <c r="AE40" s="142">
        <v>0</v>
      </c>
      <c r="AF40" s="142">
        <v>0</v>
      </c>
      <c r="AG40" s="142">
        <v>0</v>
      </c>
    </row>
    <row r="41" spans="1:33" s="220" customFormat="1" ht="18.75" customHeight="1" x14ac:dyDescent="0.25">
      <c r="A41" s="140"/>
      <c r="B41" s="141" t="s">
        <v>254</v>
      </c>
      <c r="C41" s="140" t="s">
        <v>5</v>
      </c>
      <c r="D41" s="213">
        <v>0</v>
      </c>
      <c r="E41" s="223">
        <v>0</v>
      </c>
      <c r="F41" s="215">
        <v>0</v>
      </c>
      <c r="G41" s="215">
        <v>0</v>
      </c>
      <c r="H41" s="215">
        <f>$E$41+$F$41+$G$41</f>
        <v>0</v>
      </c>
      <c r="I41" s="218">
        <f>IFERROR($H$41/'Table I'!$E$12*100,0)</f>
        <v>0</v>
      </c>
      <c r="J41" s="215">
        <f>$H$41</f>
        <v>0</v>
      </c>
      <c r="K41" s="215">
        <v>0</v>
      </c>
      <c r="L41" s="215">
        <f>$J$41+$K$41</f>
        <v>0</v>
      </c>
      <c r="M41" s="218">
        <f>IFERROR($L$41/'Table I'!$E$12*100,0)</f>
        <v>0</v>
      </c>
      <c r="N41" s="215">
        <v>0</v>
      </c>
      <c r="O41" s="215">
        <v>0</v>
      </c>
      <c r="P41" s="215">
        <v>0</v>
      </c>
      <c r="Q41" s="215">
        <f>$P$41+$O$41+$N$41</f>
        <v>0</v>
      </c>
      <c r="R41" s="215">
        <f>$Q$41+$H$41</f>
        <v>0</v>
      </c>
      <c r="S41" s="218">
        <f>IFERROR(($R$41/('Table I'!$R$12)*100),0)</f>
        <v>0</v>
      </c>
      <c r="T41" s="223">
        <v>0</v>
      </c>
      <c r="U41" s="219">
        <f>IFERROR($T$41/$E$41*100,0)</f>
        <v>0</v>
      </c>
      <c r="V41" s="150"/>
      <c r="W41" s="255"/>
      <c r="X41" s="272"/>
      <c r="Y41" s="255"/>
      <c r="Z41" s="272"/>
      <c r="AA41" s="255"/>
      <c r="AB41" s="272"/>
      <c r="AC41" s="151"/>
      <c r="AD41" s="216">
        <v>0</v>
      </c>
      <c r="AE41" s="142">
        <v>0</v>
      </c>
      <c r="AF41" s="142">
        <v>0</v>
      </c>
      <c r="AG41" s="142">
        <v>0</v>
      </c>
    </row>
    <row r="42" spans="1:33" s="220" customFormat="1" ht="18.75" customHeight="1" x14ac:dyDescent="0.25">
      <c r="A42" s="140"/>
      <c r="B42" s="141" t="s">
        <v>78</v>
      </c>
      <c r="C42" s="140" t="s">
        <v>5</v>
      </c>
      <c r="D42" s="213">
        <v>0</v>
      </c>
      <c r="E42" s="223">
        <v>0</v>
      </c>
      <c r="F42" s="215">
        <v>0</v>
      </c>
      <c r="G42" s="215">
        <v>0</v>
      </c>
      <c r="H42" s="215">
        <f>$E$42+$F$42+$G$42</f>
        <v>0</v>
      </c>
      <c r="I42" s="218">
        <f>IFERROR($H$42/'Table I'!$E$12*100,0)</f>
        <v>0</v>
      </c>
      <c r="J42" s="215">
        <f>$H$42</f>
        <v>0</v>
      </c>
      <c r="K42" s="215">
        <v>0</v>
      </c>
      <c r="L42" s="215">
        <f>$J$42+$K$42</f>
        <v>0</v>
      </c>
      <c r="M42" s="218">
        <f>IFERROR($L$42/'Table I'!$E$12*100,0)</f>
        <v>0</v>
      </c>
      <c r="N42" s="215">
        <v>0</v>
      </c>
      <c r="O42" s="215">
        <v>0</v>
      </c>
      <c r="P42" s="215">
        <v>0</v>
      </c>
      <c r="Q42" s="215">
        <f>$P$42+$O$42+$N$42</f>
        <v>0</v>
      </c>
      <c r="R42" s="215">
        <f>$Q$42+$H$42</f>
        <v>0</v>
      </c>
      <c r="S42" s="218">
        <f>IFERROR(($R$42/('Table I'!$R$12)*100),0)</f>
        <v>0</v>
      </c>
      <c r="T42" s="223">
        <v>0</v>
      </c>
      <c r="U42" s="219">
        <f>IFERROR($T$42/$E$42*100,0)</f>
        <v>0</v>
      </c>
      <c r="V42" s="150"/>
      <c r="W42" s="255"/>
      <c r="X42" s="272"/>
      <c r="Y42" s="255"/>
      <c r="Z42" s="272"/>
      <c r="AA42" s="255"/>
      <c r="AB42" s="272"/>
      <c r="AC42" s="151"/>
      <c r="AD42" s="216">
        <v>0</v>
      </c>
      <c r="AE42" s="142">
        <v>0</v>
      </c>
      <c r="AF42" s="142">
        <v>0</v>
      </c>
      <c r="AG42" s="142">
        <v>0</v>
      </c>
    </row>
    <row r="43" spans="1:33" s="220" customFormat="1" ht="18.75" customHeight="1" x14ac:dyDescent="0.25">
      <c r="A43" s="140"/>
      <c r="B43" s="141" t="s">
        <v>227</v>
      </c>
      <c r="C43" s="140" t="s">
        <v>5</v>
      </c>
      <c r="D43" s="213">
        <v>0</v>
      </c>
      <c r="E43" s="223">
        <v>0</v>
      </c>
      <c r="F43" s="215">
        <v>0</v>
      </c>
      <c r="G43" s="215">
        <v>0</v>
      </c>
      <c r="H43" s="215">
        <f>$E$43+$F$43+$G$43</f>
        <v>0</v>
      </c>
      <c r="I43" s="218">
        <f>IFERROR($H$43/'Table I'!$E$12*100,0)</f>
        <v>0</v>
      </c>
      <c r="J43" s="215">
        <f>$H$43</f>
        <v>0</v>
      </c>
      <c r="K43" s="215">
        <v>0</v>
      </c>
      <c r="L43" s="215">
        <f>$J$43+$K$43</f>
        <v>0</v>
      </c>
      <c r="M43" s="218">
        <f>IFERROR($L$43/'Table I'!$E$12*100,0)</f>
        <v>0</v>
      </c>
      <c r="N43" s="215">
        <v>0</v>
      </c>
      <c r="O43" s="215">
        <v>0</v>
      </c>
      <c r="P43" s="215">
        <v>0</v>
      </c>
      <c r="Q43" s="215">
        <f>$P$43+$O$43+$N$43</f>
        <v>0</v>
      </c>
      <c r="R43" s="215">
        <f>$Q$43+$H$43</f>
        <v>0</v>
      </c>
      <c r="S43" s="218">
        <f>IFERROR(($R$43/('Table I'!$R$12)*100),0)</f>
        <v>0</v>
      </c>
      <c r="T43" s="223">
        <v>0</v>
      </c>
      <c r="U43" s="219">
        <f>IFERROR($T$43/$E$43*100,0)</f>
        <v>0</v>
      </c>
      <c r="V43" s="150"/>
      <c r="W43" s="255"/>
      <c r="X43" s="272"/>
      <c r="Y43" s="255"/>
      <c r="Z43" s="272"/>
      <c r="AA43" s="255"/>
      <c r="AB43" s="272"/>
      <c r="AC43" s="151"/>
      <c r="AD43" s="216">
        <v>0</v>
      </c>
      <c r="AE43" s="142">
        <v>0</v>
      </c>
      <c r="AF43" s="142">
        <v>0</v>
      </c>
      <c r="AG43" s="142">
        <v>0</v>
      </c>
    </row>
    <row r="44" spans="1:33" s="220" customFormat="1" ht="18.75" customHeight="1" x14ac:dyDescent="0.25">
      <c r="A44" s="140"/>
      <c r="B44" s="141" t="s">
        <v>255</v>
      </c>
      <c r="C44" s="140" t="s">
        <v>5</v>
      </c>
      <c r="D44" s="213">
        <v>0</v>
      </c>
      <c r="E44" s="223">
        <v>0</v>
      </c>
      <c r="F44" s="215">
        <v>0</v>
      </c>
      <c r="G44" s="215">
        <v>0</v>
      </c>
      <c r="H44" s="215">
        <f>$E$44+$F$44+$G$44</f>
        <v>0</v>
      </c>
      <c r="I44" s="218">
        <f>IFERROR($H$44/'Table I'!$E$12*100,0)</f>
        <v>0</v>
      </c>
      <c r="J44" s="215">
        <f>$H$44</f>
        <v>0</v>
      </c>
      <c r="K44" s="215">
        <v>0</v>
      </c>
      <c r="L44" s="215">
        <f>$J$44+$K$44</f>
        <v>0</v>
      </c>
      <c r="M44" s="218">
        <f>IFERROR($L$44/'Table I'!$E$12*100,0)</f>
        <v>0</v>
      </c>
      <c r="N44" s="215">
        <v>0</v>
      </c>
      <c r="O44" s="215">
        <v>0</v>
      </c>
      <c r="P44" s="215">
        <v>0</v>
      </c>
      <c r="Q44" s="215">
        <f>$P$44+$O$44+$N$44</f>
        <v>0</v>
      </c>
      <c r="R44" s="215">
        <f>$Q$44+$H$44</f>
        <v>0</v>
      </c>
      <c r="S44" s="218">
        <f>IFERROR(($R$44/('Table I'!$R$12)*100),0)</f>
        <v>0</v>
      </c>
      <c r="T44" s="223">
        <v>0</v>
      </c>
      <c r="U44" s="219">
        <f>IFERROR($T$44/$E$44*100,0)</f>
        <v>0</v>
      </c>
      <c r="V44" s="150"/>
      <c r="W44" s="255"/>
      <c r="X44" s="272"/>
      <c r="Y44" s="255"/>
      <c r="Z44" s="272"/>
      <c r="AA44" s="255"/>
      <c r="AB44" s="272"/>
      <c r="AC44" s="151"/>
      <c r="AD44" s="216">
        <v>0</v>
      </c>
      <c r="AE44" s="142">
        <v>0</v>
      </c>
      <c r="AF44" s="142">
        <v>0</v>
      </c>
      <c r="AG44" s="142">
        <v>0</v>
      </c>
    </row>
    <row r="45" spans="1:33" s="220" customFormat="1" ht="18.75" customHeight="1" x14ac:dyDescent="0.25">
      <c r="A45" s="140"/>
      <c r="B45" s="141" t="s">
        <v>240</v>
      </c>
      <c r="C45" s="140" t="s">
        <v>5</v>
      </c>
      <c r="D45" s="213">
        <v>0</v>
      </c>
      <c r="E45" s="223">
        <v>0</v>
      </c>
      <c r="F45" s="215">
        <v>0</v>
      </c>
      <c r="G45" s="215">
        <v>0</v>
      </c>
      <c r="H45" s="215">
        <f>$E$45+$F$45+$G$45</f>
        <v>0</v>
      </c>
      <c r="I45" s="218">
        <f>IFERROR($H$45/'Table I'!$E$12*100,0)</f>
        <v>0</v>
      </c>
      <c r="J45" s="215">
        <f>$H$45</f>
        <v>0</v>
      </c>
      <c r="K45" s="215">
        <v>0</v>
      </c>
      <c r="L45" s="215">
        <f>$J$45+$K$45</f>
        <v>0</v>
      </c>
      <c r="M45" s="218">
        <f>IFERROR($L$45/'Table I'!$E$12*100,0)</f>
        <v>0</v>
      </c>
      <c r="N45" s="215">
        <v>0</v>
      </c>
      <c r="O45" s="215">
        <v>0</v>
      </c>
      <c r="P45" s="215">
        <v>0</v>
      </c>
      <c r="Q45" s="215">
        <f>$P$45+$O$45+$N$45</f>
        <v>0</v>
      </c>
      <c r="R45" s="215">
        <f>$Q$45+$H$45</f>
        <v>0</v>
      </c>
      <c r="S45" s="218">
        <f>IFERROR(($R$45/('Table I'!$R$12)*100),0)</f>
        <v>0</v>
      </c>
      <c r="T45" s="223">
        <v>0</v>
      </c>
      <c r="U45" s="219">
        <f>IFERROR($T$45/$E$45*100,0)</f>
        <v>0</v>
      </c>
      <c r="V45" s="150"/>
      <c r="W45" s="255"/>
      <c r="X45" s="272"/>
      <c r="Y45" s="255"/>
      <c r="Z45" s="272"/>
      <c r="AA45" s="255"/>
      <c r="AB45" s="272"/>
      <c r="AC45" s="151"/>
      <c r="AD45" s="216">
        <v>0</v>
      </c>
      <c r="AE45" s="142">
        <v>0</v>
      </c>
      <c r="AF45" s="142">
        <v>0</v>
      </c>
      <c r="AG45" s="142">
        <v>0</v>
      </c>
    </row>
    <row r="46" spans="1:33" s="220" customFormat="1" ht="18.75" customHeight="1" x14ac:dyDescent="0.25">
      <c r="A46" s="140"/>
      <c r="B46" s="141" t="s">
        <v>243</v>
      </c>
      <c r="C46" s="140" t="s">
        <v>5</v>
      </c>
      <c r="D46" s="213">
        <v>0</v>
      </c>
      <c r="E46" s="223">
        <v>0</v>
      </c>
      <c r="F46" s="215">
        <v>0</v>
      </c>
      <c r="G46" s="215">
        <v>0</v>
      </c>
      <c r="H46" s="215">
        <f>$E$46+$F$46+$G$46</f>
        <v>0</v>
      </c>
      <c r="I46" s="218">
        <f>IFERROR($H$46/'Table I'!$E$12*100,0)</f>
        <v>0</v>
      </c>
      <c r="J46" s="215">
        <f>$H$46</f>
        <v>0</v>
      </c>
      <c r="K46" s="215">
        <v>0</v>
      </c>
      <c r="L46" s="215">
        <f>$J$46+$K$46</f>
        <v>0</v>
      </c>
      <c r="M46" s="218">
        <f>IFERROR($L$46/'Table I'!$E$12*100,0)</f>
        <v>0</v>
      </c>
      <c r="N46" s="215">
        <v>0</v>
      </c>
      <c r="O46" s="215">
        <v>0</v>
      </c>
      <c r="P46" s="215">
        <v>0</v>
      </c>
      <c r="Q46" s="215">
        <f>$P$46+$O$46+$N$46</f>
        <v>0</v>
      </c>
      <c r="R46" s="215">
        <f>$Q$46+$H$46</f>
        <v>0</v>
      </c>
      <c r="S46" s="218">
        <f>IFERROR(($R$46/('Table I'!$R$12)*100),0)</f>
        <v>0</v>
      </c>
      <c r="T46" s="223">
        <v>0</v>
      </c>
      <c r="U46" s="219">
        <f>IFERROR($T$46/$E$46*100,0)</f>
        <v>0</v>
      </c>
      <c r="V46" s="150"/>
      <c r="W46" s="255"/>
      <c r="X46" s="272"/>
      <c r="Y46" s="255"/>
      <c r="Z46" s="272"/>
      <c r="AA46" s="255"/>
      <c r="AB46" s="272"/>
      <c r="AC46" s="151"/>
      <c r="AD46" s="216">
        <v>0</v>
      </c>
      <c r="AE46" s="142">
        <v>0</v>
      </c>
      <c r="AF46" s="142">
        <v>0</v>
      </c>
      <c r="AG46" s="142">
        <v>0</v>
      </c>
    </row>
    <row r="47" spans="1:33" s="220" customFormat="1" ht="18.75" customHeight="1" x14ac:dyDescent="0.25">
      <c r="A47" s="140"/>
      <c r="B47" s="141" t="s">
        <v>244</v>
      </c>
      <c r="C47" s="140" t="s">
        <v>5</v>
      </c>
      <c r="D47" s="213">
        <v>0</v>
      </c>
      <c r="E47" s="223">
        <v>0</v>
      </c>
      <c r="F47" s="215">
        <v>0</v>
      </c>
      <c r="G47" s="215">
        <v>0</v>
      </c>
      <c r="H47" s="215">
        <f>$E$47+$F$47+$G$47</f>
        <v>0</v>
      </c>
      <c r="I47" s="218">
        <f>IFERROR($H$47/'Table I'!$E$12*100,0)</f>
        <v>0</v>
      </c>
      <c r="J47" s="215">
        <f>$H$47</f>
        <v>0</v>
      </c>
      <c r="K47" s="215">
        <v>0</v>
      </c>
      <c r="L47" s="215">
        <f>$J$47+$K$47</f>
        <v>0</v>
      </c>
      <c r="M47" s="218">
        <f>IFERROR($L$47/'Table I'!$E$12*100,0)</f>
        <v>0</v>
      </c>
      <c r="N47" s="215">
        <v>0</v>
      </c>
      <c r="O47" s="215">
        <v>0</v>
      </c>
      <c r="P47" s="215">
        <v>0</v>
      </c>
      <c r="Q47" s="215">
        <f>$P$47+$O$47+$N$47</f>
        <v>0</v>
      </c>
      <c r="R47" s="215">
        <f>$Q$47+$H$47</f>
        <v>0</v>
      </c>
      <c r="S47" s="218">
        <f>IFERROR(($R$47/('Table I'!$R$12)*100),0)</f>
        <v>0</v>
      </c>
      <c r="T47" s="223">
        <v>0</v>
      </c>
      <c r="U47" s="219">
        <f>IFERROR($T$47/$E$47*100,0)</f>
        <v>0</v>
      </c>
      <c r="V47" s="150"/>
      <c r="W47" s="255"/>
      <c r="X47" s="272"/>
      <c r="Y47" s="255"/>
      <c r="Z47" s="272"/>
      <c r="AA47" s="255"/>
      <c r="AB47" s="272"/>
      <c r="AC47" s="151"/>
      <c r="AD47" s="216">
        <v>0</v>
      </c>
      <c r="AE47" s="142">
        <v>0</v>
      </c>
      <c r="AF47" s="142">
        <v>0</v>
      </c>
      <c r="AG47" s="142">
        <v>0</v>
      </c>
    </row>
    <row r="48" spans="1:33" s="220" customFormat="1" ht="18.75" customHeight="1" x14ac:dyDescent="0.25">
      <c r="A48" s="140"/>
      <c r="B48" s="141" t="s">
        <v>246</v>
      </c>
      <c r="C48" s="140" t="s">
        <v>5</v>
      </c>
      <c r="D48" s="213">
        <v>0</v>
      </c>
      <c r="E48" s="223">
        <v>0</v>
      </c>
      <c r="F48" s="215">
        <v>0</v>
      </c>
      <c r="G48" s="215">
        <v>0</v>
      </c>
      <c r="H48" s="215">
        <f>$E$48+$F$48+$G$48</f>
        <v>0</v>
      </c>
      <c r="I48" s="218">
        <f>IFERROR($H$48/'Table I'!$E$12*100,0)</f>
        <v>0</v>
      </c>
      <c r="J48" s="215">
        <f>$H$48</f>
        <v>0</v>
      </c>
      <c r="K48" s="215">
        <v>0</v>
      </c>
      <c r="L48" s="215">
        <f>$J$48+$K$48</f>
        <v>0</v>
      </c>
      <c r="M48" s="218">
        <f>IFERROR($L$48/'Table I'!$E$12*100,0)</f>
        <v>0</v>
      </c>
      <c r="N48" s="215">
        <v>0</v>
      </c>
      <c r="O48" s="215">
        <v>0</v>
      </c>
      <c r="P48" s="215">
        <v>0</v>
      </c>
      <c r="Q48" s="215">
        <f>$P$48+$O$48+$N$48</f>
        <v>0</v>
      </c>
      <c r="R48" s="215">
        <f>$Q$48+$H$48</f>
        <v>0</v>
      </c>
      <c r="S48" s="218">
        <f>IFERROR(($R$48/('Table I'!$R$12)*100),0)</f>
        <v>0</v>
      </c>
      <c r="T48" s="223">
        <v>0</v>
      </c>
      <c r="U48" s="219">
        <f>IFERROR($T$48/$E$48*100,0)</f>
        <v>0</v>
      </c>
      <c r="V48" s="150"/>
      <c r="W48" s="255"/>
      <c r="X48" s="272"/>
      <c r="Y48" s="255"/>
      <c r="Z48" s="272"/>
      <c r="AA48" s="255"/>
      <c r="AB48" s="272"/>
      <c r="AC48" s="151"/>
      <c r="AD48" s="216">
        <v>0</v>
      </c>
      <c r="AE48" s="142">
        <v>0</v>
      </c>
      <c r="AF48" s="142">
        <v>0</v>
      </c>
      <c r="AG48" s="142">
        <v>0</v>
      </c>
    </row>
    <row r="49" spans="1:33" s="220" customFormat="1" ht="18.75" customHeight="1" x14ac:dyDescent="0.25">
      <c r="A49" s="140"/>
      <c r="B49" s="141" t="s">
        <v>256</v>
      </c>
      <c r="C49" s="140" t="s">
        <v>5</v>
      </c>
      <c r="D49" s="213">
        <v>0</v>
      </c>
      <c r="E49" s="223">
        <v>0</v>
      </c>
      <c r="F49" s="215">
        <v>0</v>
      </c>
      <c r="G49" s="215">
        <v>0</v>
      </c>
      <c r="H49" s="215">
        <f>$E$49+$F$49+$G$49</f>
        <v>0</v>
      </c>
      <c r="I49" s="218">
        <f>IFERROR($H$49/'Table I'!$E$12*100,0)</f>
        <v>0</v>
      </c>
      <c r="J49" s="215">
        <f>$H$49</f>
        <v>0</v>
      </c>
      <c r="K49" s="215">
        <v>0</v>
      </c>
      <c r="L49" s="215">
        <f>$J$49+$K$49</f>
        <v>0</v>
      </c>
      <c r="M49" s="218">
        <f>IFERROR($L$49/'Table I'!$E$12*100,0)</f>
        <v>0</v>
      </c>
      <c r="N49" s="215">
        <v>0</v>
      </c>
      <c r="O49" s="215">
        <v>0</v>
      </c>
      <c r="P49" s="215">
        <v>0</v>
      </c>
      <c r="Q49" s="215">
        <f>$P$49+$O$49+$N$49</f>
        <v>0</v>
      </c>
      <c r="R49" s="215">
        <f>$Q$49+$H$49</f>
        <v>0</v>
      </c>
      <c r="S49" s="218">
        <f>IFERROR(($R$49/('Table I'!$R$12)*100),0)</f>
        <v>0</v>
      </c>
      <c r="T49" s="223">
        <v>0</v>
      </c>
      <c r="U49" s="219">
        <f>IFERROR($T$49/$E$49*100,0)</f>
        <v>0</v>
      </c>
      <c r="V49" s="150"/>
      <c r="W49" s="255"/>
      <c r="X49" s="272"/>
      <c r="Y49" s="255"/>
      <c r="Z49" s="272"/>
      <c r="AA49" s="255"/>
      <c r="AB49" s="272"/>
      <c r="AC49" s="151"/>
      <c r="AD49" s="216">
        <v>0</v>
      </c>
      <c r="AE49" s="142">
        <v>0</v>
      </c>
      <c r="AF49" s="142">
        <v>0</v>
      </c>
      <c r="AG49" s="142">
        <v>0</v>
      </c>
    </row>
    <row r="50" spans="1:33" s="220" customFormat="1" ht="18.75" customHeight="1" x14ac:dyDescent="0.25">
      <c r="A50" s="140"/>
      <c r="B50" s="141" t="s">
        <v>257</v>
      </c>
      <c r="C50" s="140" t="s">
        <v>5</v>
      </c>
      <c r="D50" s="213">
        <v>0</v>
      </c>
      <c r="E50" s="223">
        <v>0</v>
      </c>
      <c r="F50" s="215">
        <v>0</v>
      </c>
      <c r="G50" s="215">
        <v>0</v>
      </c>
      <c r="H50" s="215">
        <f>$E$50+$F$50+$G$50</f>
        <v>0</v>
      </c>
      <c r="I50" s="218">
        <f>IFERROR($H$50/'Table I'!$E$12*100,0)</f>
        <v>0</v>
      </c>
      <c r="J50" s="215">
        <f>$H$50</f>
        <v>0</v>
      </c>
      <c r="K50" s="215">
        <v>0</v>
      </c>
      <c r="L50" s="215">
        <f>$J$50+$K$50</f>
        <v>0</v>
      </c>
      <c r="M50" s="218">
        <f>IFERROR($L$50/'Table I'!$E$12*100,0)</f>
        <v>0</v>
      </c>
      <c r="N50" s="215">
        <v>0</v>
      </c>
      <c r="O50" s="215">
        <v>0</v>
      </c>
      <c r="P50" s="215">
        <v>0</v>
      </c>
      <c r="Q50" s="215">
        <f>$P$50+$O$50+$N$50</f>
        <v>0</v>
      </c>
      <c r="R50" s="215">
        <f>$Q$50+$H$50</f>
        <v>0</v>
      </c>
      <c r="S50" s="218">
        <f>IFERROR(($R$50/('Table I'!$R$12)*100),0)</f>
        <v>0</v>
      </c>
      <c r="T50" s="223">
        <v>0</v>
      </c>
      <c r="U50" s="219">
        <f>IFERROR($T$50/$E$50*100,0)</f>
        <v>0</v>
      </c>
      <c r="V50" s="150"/>
      <c r="W50" s="255"/>
      <c r="X50" s="272"/>
      <c r="Y50" s="255"/>
      <c r="Z50" s="272"/>
      <c r="AA50" s="255"/>
      <c r="AB50" s="272"/>
      <c r="AC50" s="151"/>
      <c r="AD50" s="216">
        <v>0</v>
      </c>
      <c r="AE50" s="142">
        <v>0</v>
      </c>
      <c r="AF50" s="142">
        <v>0</v>
      </c>
      <c r="AG50" s="142">
        <v>0</v>
      </c>
    </row>
    <row r="51" spans="1:33" s="220" customFormat="1" ht="18.75" customHeight="1" x14ac:dyDescent="0.25">
      <c r="A51" s="140"/>
      <c r="B51" s="141" t="s">
        <v>258</v>
      </c>
      <c r="C51" s="140" t="s">
        <v>5</v>
      </c>
      <c r="D51" s="213">
        <v>0</v>
      </c>
      <c r="E51" s="223">
        <v>0</v>
      </c>
      <c r="F51" s="215">
        <v>0</v>
      </c>
      <c r="G51" s="215">
        <v>0</v>
      </c>
      <c r="H51" s="215">
        <f>$E$51+$F$51+$G$51</f>
        <v>0</v>
      </c>
      <c r="I51" s="218">
        <f>IFERROR($H$51/'Table I'!$E$12*100,0)</f>
        <v>0</v>
      </c>
      <c r="J51" s="215">
        <f>$H$51</f>
        <v>0</v>
      </c>
      <c r="K51" s="215">
        <v>0</v>
      </c>
      <c r="L51" s="215">
        <f>$J$51+$K$51</f>
        <v>0</v>
      </c>
      <c r="M51" s="218">
        <f>IFERROR($L$51/'Table I'!$E$12*100,0)</f>
        <v>0</v>
      </c>
      <c r="N51" s="215">
        <v>0</v>
      </c>
      <c r="O51" s="215">
        <v>0</v>
      </c>
      <c r="P51" s="215">
        <v>0</v>
      </c>
      <c r="Q51" s="215">
        <f>$P$51+$O$51+$N$51</f>
        <v>0</v>
      </c>
      <c r="R51" s="215">
        <f>$Q$51+$H$51</f>
        <v>0</v>
      </c>
      <c r="S51" s="218">
        <f>IFERROR(($R$51/('Table I'!$R$12)*100),0)</f>
        <v>0</v>
      </c>
      <c r="T51" s="223">
        <v>0</v>
      </c>
      <c r="U51" s="219">
        <f>IFERROR($T$51/$E$51*100,0)</f>
        <v>0</v>
      </c>
      <c r="V51" s="150"/>
      <c r="W51" s="255"/>
      <c r="X51" s="272"/>
      <c r="Y51" s="255"/>
      <c r="Z51" s="272"/>
      <c r="AA51" s="255"/>
      <c r="AB51" s="272"/>
      <c r="AC51" s="151"/>
      <c r="AD51" s="216">
        <v>0</v>
      </c>
      <c r="AE51" s="142">
        <v>0</v>
      </c>
      <c r="AF51" s="142">
        <v>0</v>
      </c>
      <c r="AG51" s="142">
        <v>0</v>
      </c>
    </row>
    <row r="52" spans="1:33" s="222" customFormat="1" ht="19.5" customHeight="1" x14ac:dyDescent="0.25">
      <c r="A52" s="262"/>
      <c r="B52" s="263" t="s">
        <v>94</v>
      </c>
      <c r="C52" s="262" t="s">
        <v>5</v>
      </c>
      <c r="D52" s="267">
        <f>$D$37+$D$36+$D$35+$D$34+$D$33+$D$32+$D$31</f>
        <v>0</v>
      </c>
      <c r="E52" s="268">
        <f>$E$37+$E$36+$E$35+$E$34+$E$33+$E$32+$E$31</f>
        <v>0</v>
      </c>
      <c r="F52" s="268">
        <f>$F$31+$F$32+$F$33+$F$34+$F$35+$F$36+$F$37</f>
        <v>0</v>
      </c>
      <c r="G52" s="268">
        <f>$G$31+$G$32+$G$33+$G$34+$G$35+$G$36+$G$37</f>
        <v>0</v>
      </c>
      <c r="H52" s="265">
        <f>$E$52+$F$52+$G$52</f>
        <v>0</v>
      </c>
      <c r="I52" s="269">
        <f>IFERROR($H$52/'Table I'!$E$12*100,0)</f>
        <v>0</v>
      </c>
      <c r="J52" s="268">
        <f>$H$52</f>
        <v>0</v>
      </c>
      <c r="K52" s="268">
        <f>$K$31+$K$32+$K$33+$K$34+$K$35+$K$36+$K$37</f>
        <v>0</v>
      </c>
      <c r="L52" s="265">
        <f>$J$52+$K$52</f>
        <v>0</v>
      </c>
      <c r="M52" s="269">
        <f>IFERROR($L$52/'Table I'!$E$12*100,0)</f>
        <v>0</v>
      </c>
      <c r="N52" s="268">
        <f>$N$31+$N$32+$N$33+$N$34+$N$35+$N$36+$N$37</f>
        <v>0</v>
      </c>
      <c r="O52" s="268">
        <f>$O$31+$O$32+$O$33+$O$34+$O$35+$O$36+$O$37</f>
        <v>0</v>
      </c>
      <c r="P52" s="268">
        <f>$P$31+$P$32+$P$33+$P$34+$P$35+$P$36+$P$37</f>
        <v>0</v>
      </c>
      <c r="Q52" s="268">
        <f>$N$52+$O$52+$P$52</f>
        <v>0</v>
      </c>
      <c r="R52" s="268">
        <f>$Q$52+$H$52</f>
        <v>0</v>
      </c>
      <c r="S52" s="266">
        <f>IFERROR(($R$52/('Table I'!$R$12)*100),0)</f>
        <v>0</v>
      </c>
      <c r="T52" s="268">
        <f>$T$37+$T$36+$T$35+$T$34+$T$33+$T$32+$T$31</f>
        <v>0</v>
      </c>
      <c r="U52" s="324">
        <f>IFERROR($T$52/$E$52*100,0)</f>
        <v>0</v>
      </c>
      <c r="V52" s="328"/>
      <c r="W52" s="160"/>
      <c r="X52" s="161"/>
      <c r="Y52" s="160"/>
      <c r="Z52" s="161"/>
      <c r="AA52" s="160"/>
      <c r="AB52" s="161"/>
      <c r="AC52" s="329"/>
      <c r="AD52" s="325">
        <f>$AD$37+$AD$36+$AD$35+$AD$34+$AD$33+$AD$32+$AD$31</f>
        <v>0</v>
      </c>
      <c r="AE52" s="270">
        <f>$AE$37+$AE$36+$AE$35+$AE$34+$AE$33+$AE$32+$AE$31</f>
        <v>0</v>
      </c>
      <c r="AF52" s="270">
        <f>$AF$37+$AF$36+$AF$35+$AF$34+$AF$33+$AF$32+$AF$31</f>
        <v>0</v>
      </c>
      <c r="AG52" s="270">
        <f>$AG$37+$AG$36+$AG$35+$AG$34+$AG$33+$AG$32+$AG$31</f>
        <v>0</v>
      </c>
    </row>
    <row r="53" spans="1:33" s="10" customFormat="1" ht="24.75" customHeight="1" x14ac:dyDescent="0.25">
      <c r="A53" s="230" t="s">
        <v>115</v>
      </c>
      <c r="B53" s="377" t="s">
        <v>213</v>
      </c>
      <c r="C53" s="377"/>
      <c r="D53" s="377"/>
      <c r="E53" s="377"/>
      <c r="F53" s="377"/>
      <c r="G53" s="377"/>
      <c r="H53" s="377"/>
      <c r="I53" s="377"/>
      <c r="J53" s="377"/>
      <c r="K53" s="377"/>
      <c r="L53" s="377"/>
      <c r="M53" s="377"/>
      <c r="N53" s="377"/>
      <c r="O53" s="377"/>
      <c r="P53" s="377"/>
      <c r="Q53" s="377"/>
      <c r="R53" s="377"/>
      <c r="S53" s="377"/>
      <c r="T53" s="377"/>
      <c r="U53" s="377"/>
      <c r="V53" s="378"/>
      <c r="W53" s="378"/>
      <c r="X53" s="378"/>
      <c r="Y53" s="378"/>
      <c r="Z53" s="378"/>
      <c r="AA53" s="378"/>
      <c r="AB53" s="378"/>
      <c r="AC53" s="378"/>
      <c r="AD53" s="377"/>
      <c r="AE53" s="377"/>
      <c r="AF53" s="377"/>
      <c r="AG53" s="377"/>
    </row>
    <row r="54" spans="1:33" s="222" customFormat="1" ht="24.75" customHeight="1" x14ac:dyDescent="0.25">
      <c r="A54" s="141" t="s">
        <v>53</v>
      </c>
      <c r="B54" s="143" t="s">
        <v>208</v>
      </c>
      <c r="C54" s="140" t="s">
        <v>5</v>
      </c>
      <c r="D54" s="213">
        <v>0</v>
      </c>
      <c r="E54" s="223">
        <v>0</v>
      </c>
      <c r="F54" s="215">
        <v>0</v>
      </c>
      <c r="G54" s="215">
        <v>0</v>
      </c>
      <c r="H54" s="215">
        <f>$E$54+$F$54+$G$54</f>
        <v>0</v>
      </c>
      <c r="I54" s="218">
        <f>IFERROR($H$54/'Table I'!$E$12*100,0)</f>
        <v>0</v>
      </c>
      <c r="J54" s="215">
        <f>$H$54</f>
        <v>0</v>
      </c>
      <c r="K54" s="215">
        <v>0</v>
      </c>
      <c r="L54" s="215">
        <f>$J$54+$K$54</f>
        <v>0</v>
      </c>
      <c r="M54" s="218">
        <f>IFERROR($L$54/'Table I'!$E$12*100,0)</f>
        <v>0</v>
      </c>
      <c r="N54" s="215">
        <v>0</v>
      </c>
      <c r="O54" s="215">
        <v>0</v>
      </c>
      <c r="P54" s="215">
        <v>0</v>
      </c>
      <c r="Q54" s="221">
        <f>$N$54+$O$54+$P$54</f>
        <v>0</v>
      </c>
      <c r="R54" s="221">
        <f>$Q$54+$H$54</f>
        <v>0</v>
      </c>
      <c r="S54" s="218">
        <f>IFERROR(($R$54/('Table I'!$R$12)*100),0)</f>
        <v>0</v>
      </c>
      <c r="T54" s="223">
        <v>0</v>
      </c>
      <c r="U54" s="219">
        <f>IFERROR($T$54/$E$54*100,0)</f>
        <v>0</v>
      </c>
      <c r="V54" s="146"/>
      <c r="W54" s="147"/>
      <c r="X54" s="148"/>
      <c r="Y54" s="147"/>
      <c r="Z54" s="148"/>
      <c r="AA54" s="147"/>
      <c r="AB54" s="148"/>
      <c r="AC54" s="149"/>
      <c r="AD54" s="216">
        <v>0</v>
      </c>
      <c r="AE54" s="142">
        <v>0</v>
      </c>
      <c r="AF54" s="142">
        <v>0</v>
      </c>
      <c r="AG54" s="142">
        <v>0</v>
      </c>
    </row>
    <row r="55" spans="1:33" s="222" customFormat="1" ht="24.75" customHeight="1" x14ac:dyDescent="0.25">
      <c r="A55" s="141" t="s">
        <v>54</v>
      </c>
      <c r="B55" s="143" t="s">
        <v>209</v>
      </c>
      <c r="C55" s="140" t="s">
        <v>5</v>
      </c>
      <c r="D55" s="213">
        <v>0</v>
      </c>
      <c r="E55" s="223">
        <v>0</v>
      </c>
      <c r="F55" s="215">
        <v>0</v>
      </c>
      <c r="G55" s="215">
        <v>0</v>
      </c>
      <c r="H55" s="215">
        <f>$E$55+$F$55+$G$55</f>
        <v>0</v>
      </c>
      <c r="I55" s="218">
        <f>IFERROR($H$55/'Table I'!$E$12*100,0)</f>
        <v>0</v>
      </c>
      <c r="J55" s="215">
        <f>$H$55</f>
        <v>0</v>
      </c>
      <c r="K55" s="215">
        <v>0</v>
      </c>
      <c r="L55" s="215">
        <f>$J$55+$K$55</f>
        <v>0</v>
      </c>
      <c r="M55" s="218">
        <f>IFERROR($L$55/'Table I'!$E$12*100,0)</f>
        <v>0</v>
      </c>
      <c r="N55" s="215">
        <v>0</v>
      </c>
      <c r="O55" s="215">
        <v>0</v>
      </c>
      <c r="P55" s="215">
        <v>0</v>
      </c>
      <c r="Q55" s="221">
        <f>$N$55+$O$55+$P$55</f>
        <v>0</v>
      </c>
      <c r="R55" s="221">
        <f>$Q$55+$H$55</f>
        <v>0</v>
      </c>
      <c r="S55" s="218">
        <f>IFERROR(($R$55/('Table I'!$R$12)*100),0)</f>
        <v>0</v>
      </c>
      <c r="T55" s="223">
        <v>0</v>
      </c>
      <c r="U55" s="219">
        <f>IFERROR($T$55/$E$55*100,0)</f>
        <v>0</v>
      </c>
      <c r="V55" s="150"/>
      <c r="W55" s="255"/>
      <c r="X55" s="272"/>
      <c r="Y55" s="255"/>
      <c r="Z55" s="272"/>
      <c r="AA55" s="255"/>
      <c r="AB55" s="272"/>
      <c r="AC55" s="151"/>
      <c r="AD55" s="216">
        <v>0</v>
      </c>
      <c r="AE55" s="142">
        <v>0</v>
      </c>
      <c r="AF55" s="142">
        <v>0</v>
      </c>
      <c r="AG55" s="142">
        <v>0</v>
      </c>
    </row>
    <row r="56" spans="1:33" s="222" customFormat="1" ht="51" customHeight="1" x14ac:dyDescent="0.25">
      <c r="A56" s="232" t="s">
        <v>55</v>
      </c>
      <c r="B56" s="244" t="s">
        <v>210</v>
      </c>
      <c r="C56" s="231" t="s">
        <v>5</v>
      </c>
      <c r="D56" s="233">
        <v>0</v>
      </c>
      <c r="E56" s="234">
        <v>0</v>
      </c>
      <c r="F56" s="235">
        <v>0</v>
      </c>
      <c r="G56" s="235">
        <v>0</v>
      </c>
      <c r="H56" s="235">
        <f>$E$56+$F$56+$G$56</f>
        <v>0</v>
      </c>
      <c r="I56" s="236">
        <f>IFERROR($H$56/'Table I'!$E$12*100,0)</f>
        <v>0</v>
      </c>
      <c r="J56" s="235">
        <f>$H$56</f>
        <v>0</v>
      </c>
      <c r="K56" s="235">
        <v>0</v>
      </c>
      <c r="L56" s="235">
        <f>$J$56+$K$56</f>
        <v>0</v>
      </c>
      <c r="M56" s="236">
        <f>IFERROR($L$56/'Table I'!$E$12*100,0)</f>
        <v>0</v>
      </c>
      <c r="N56" s="235">
        <v>0</v>
      </c>
      <c r="O56" s="235">
        <v>0</v>
      </c>
      <c r="P56" s="235">
        <v>0</v>
      </c>
      <c r="Q56" s="240">
        <f>$N$56+$O$56+$P$56</f>
        <v>0</v>
      </c>
      <c r="R56" s="240">
        <f>$Q$56+$H$56</f>
        <v>0</v>
      </c>
      <c r="S56" s="236">
        <f>IFERROR(($R$56/('Table I'!$R$12)*100),0)</f>
        <v>0</v>
      </c>
      <c r="T56" s="234">
        <v>0</v>
      </c>
      <c r="U56" s="237">
        <f>IFERROR($T$56/$E$56*100,0)</f>
        <v>0</v>
      </c>
      <c r="V56" s="150"/>
      <c r="W56" s="255"/>
      <c r="X56" s="272"/>
      <c r="Y56" s="255"/>
      <c r="Z56" s="272"/>
      <c r="AA56" s="255"/>
      <c r="AB56" s="272"/>
      <c r="AC56" s="151"/>
      <c r="AD56" s="245">
        <v>0</v>
      </c>
      <c r="AE56" s="246">
        <v>0</v>
      </c>
      <c r="AF56" s="246">
        <v>0</v>
      </c>
      <c r="AG56" s="246">
        <v>0</v>
      </c>
    </row>
    <row r="57" spans="1:33" s="222" customFormat="1" ht="19.5" customHeight="1" x14ac:dyDescent="0.25">
      <c r="A57" s="270"/>
      <c r="B57" s="270" t="s">
        <v>95</v>
      </c>
      <c r="C57" s="262" t="s">
        <v>5</v>
      </c>
      <c r="D57" s="271">
        <f>$D$56+$D$55+$D$54</f>
        <v>0</v>
      </c>
      <c r="E57" s="271">
        <f>$E$56+$E$55+$E$54</f>
        <v>0</v>
      </c>
      <c r="F57" s="271">
        <f>$F$54+$F$55+$F$56</f>
        <v>0</v>
      </c>
      <c r="G57" s="271">
        <f>$G$54+$G$55+$G$56</f>
        <v>0</v>
      </c>
      <c r="H57" s="265">
        <f>$E$57+$F$57+$G$57</f>
        <v>0</v>
      </c>
      <c r="I57" s="266">
        <f>IFERROR($H$57/'Table I'!$E$12*100,0)</f>
        <v>0</v>
      </c>
      <c r="J57" s="265">
        <f>$H$57</f>
        <v>0</v>
      </c>
      <c r="K57" s="265">
        <f>$K$54+$K$55+$K$56</f>
        <v>0</v>
      </c>
      <c r="L57" s="265">
        <f>$J$57+$K$57</f>
        <v>0</v>
      </c>
      <c r="M57" s="266">
        <f>IFERROR($L$57/'Table I'!$E$12*100,0)</f>
        <v>0</v>
      </c>
      <c r="N57" s="265">
        <f>$N$54+$N$55+$N$56</f>
        <v>0</v>
      </c>
      <c r="O57" s="265">
        <f>$O$54+$O$55+$O$56</f>
        <v>0</v>
      </c>
      <c r="P57" s="265">
        <f>$P$54+$P$55+$P$56</f>
        <v>0</v>
      </c>
      <c r="Q57" s="268">
        <f>$N$57+$O$57+$P$57</f>
        <v>0</v>
      </c>
      <c r="R57" s="268">
        <f>$Q$57+$H$57</f>
        <v>0</v>
      </c>
      <c r="S57" s="266">
        <f>IFERROR(($R$57/('Table I'!$R$12)*100),0)</f>
        <v>0</v>
      </c>
      <c r="T57" s="265">
        <f>$T$56+$T$55+$T$54</f>
        <v>0</v>
      </c>
      <c r="U57" s="330">
        <f>IFERROR($T$57/$E$57*100,0)</f>
        <v>0</v>
      </c>
      <c r="V57" s="332"/>
      <c r="W57" s="152"/>
      <c r="X57" s="153"/>
      <c r="Y57" s="152"/>
      <c r="Z57" s="153"/>
      <c r="AA57" s="152"/>
      <c r="AB57" s="153"/>
      <c r="AC57" s="333"/>
      <c r="AD57" s="331">
        <f>$AD$56+$AD$55+$AD$54</f>
        <v>0</v>
      </c>
      <c r="AE57" s="264">
        <f>$AE$56+$AE$55+$AE$54</f>
        <v>0</v>
      </c>
      <c r="AF57" s="264">
        <f>$AF$56+$AF$55+$AF$54</f>
        <v>0</v>
      </c>
      <c r="AG57" s="264">
        <f>$AG$56+$AG$55+$AG$54</f>
        <v>0</v>
      </c>
    </row>
    <row r="58" spans="1:33" s="10" customFormat="1" ht="24.75" customHeight="1" x14ac:dyDescent="0.25">
      <c r="A58" s="247" t="s">
        <v>116</v>
      </c>
      <c r="B58" s="377" t="s">
        <v>276</v>
      </c>
      <c r="C58" s="377"/>
      <c r="D58" s="377"/>
      <c r="E58" s="377"/>
      <c r="F58" s="377"/>
      <c r="G58" s="377"/>
      <c r="H58" s="377"/>
      <c r="I58" s="377"/>
      <c r="J58" s="377"/>
      <c r="K58" s="377"/>
      <c r="L58" s="377"/>
      <c r="M58" s="377"/>
      <c r="N58" s="377"/>
      <c r="O58" s="377"/>
      <c r="P58" s="377"/>
      <c r="Q58" s="377"/>
      <c r="R58" s="377"/>
      <c r="S58" s="377"/>
      <c r="T58" s="377"/>
      <c r="U58" s="377"/>
      <c r="V58" s="378"/>
      <c r="W58" s="378"/>
      <c r="X58" s="378"/>
      <c r="Y58" s="378"/>
      <c r="Z58" s="378"/>
      <c r="AA58" s="378"/>
      <c r="AB58" s="378"/>
      <c r="AC58" s="378"/>
      <c r="AD58" s="377"/>
      <c r="AE58" s="377"/>
      <c r="AF58" s="377"/>
      <c r="AG58" s="377"/>
    </row>
    <row r="59" spans="1:33" s="222" customFormat="1" ht="19.5" customHeight="1" x14ac:dyDescent="0.25">
      <c r="A59" s="143" t="s">
        <v>53</v>
      </c>
      <c r="B59" s="143" t="s">
        <v>96</v>
      </c>
      <c r="C59" s="140" t="s">
        <v>5</v>
      </c>
      <c r="D59" s="213">
        <v>0</v>
      </c>
      <c r="E59" s="223">
        <v>0</v>
      </c>
      <c r="F59" s="215">
        <v>0</v>
      </c>
      <c r="G59" s="215">
        <v>0</v>
      </c>
      <c r="H59" s="215">
        <f>$E$59+$F$59+$G$59</f>
        <v>0</v>
      </c>
      <c r="I59" s="218">
        <f>IFERROR(H59/'Table I'!$E$12*100,0)</f>
        <v>0</v>
      </c>
      <c r="J59" s="215">
        <f>$H$59</f>
        <v>0</v>
      </c>
      <c r="K59" s="215">
        <v>0</v>
      </c>
      <c r="L59" s="215">
        <f>$J$59+$K$59</f>
        <v>0</v>
      </c>
      <c r="M59" s="218">
        <f>IFERROR($L$59/'Table I'!$E$12*100,0)</f>
        <v>0</v>
      </c>
      <c r="N59" s="215">
        <v>0</v>
      </c>
      <c r="O59" s="215">
        <v>0</v>
      </c>
      <c r="P59" s="215">
        <v>0</v>
      </c>
      <c r="Q59" s="221">
        <f>$N$59+$O$59+$P$59</f>
        <v>0</v>
      </c>
      <c r="R59" s="221">
        <f>$Q$59+$H$59</f>
        <v>0</v>
      </c>
      <c r="S59" s="218">
        <f>IFERROR(($R$59/('Table I'!$R$12)*100),0)</f>
        <v>0</v>
      </c>
      <c r="T59" s="223">
        <v>0</v>
      </c>
      <c r="U59" s="219">
        <f>IFERROR($T$59/$E$59*100,0)</f>
        <v>0</v>
      </c>
      <c r="V59" s="146"/>
      <c r="W59" s="147"/>
      <c r="X59" s="148"/>
      <c r="Y59" s="147"/>
      <c r="Z59" s="148"/>
      <c r="AA59" s="147"/>
      <c r="AB59" s="148"/>
      <c r="AC59" s="149"/>
      <c r="AD59" s="216">
        <v>0</v>
      </c>
      <c r="AE59" s="142">
        <v>0</v>
      </c>
      <c r="AF59" s="142">
        <v>0</v>
      </c>
      <c r="AG59" s="142">
        <v>0</v>
      </c>
    </row>
    <row r="60" spans="1:33" s="222" customFormat="1" ht="48.75" customHeight="1" x14ac:dyDescent="0.25">
      <c r="A60" s="143" t="s">
        <v>54</v>
      </c>
      <c r="B60" s="143" t="s">
        <v>97</v>
      </c>
      <c r="C60" s="140" t="s">
        <v>5</v>
      </c>
      <c r="D60" s="213">
        <v>0</v>
      </c>
      <c r="E60" s="223">
        <v>0</v>
      </c>
      <c r="F60" s="215">
        <v>0</v>
      </c>
      <c r="G60" s="215">
        <v>0</v>
      </c>
      <c r="H60" s="215">
        <f>$E$60+$F$60+$G$60</f>
        <v>0</v>
      </c>
      <c r="I60" s="218">
        <f>IFERROR($H$60/'Table I'!$E$12*100,0)</f>
        <v>0</v>
      </c>
      <c r="J60" s="215">
        <f>$H$60</f>
        <v>0</v>
      </c>
      <c r="K60" s="215">
        <v>0</v>
      </c>
      <c r="L60" s="215">
        <f>$J$60+$K$60</f>
        <v>0</v>
      </c>
      <c r="M60" s="218">
        <f>IFERROR($L$60/'Table I'!$E$12*100,0)</f>
        <v>0</v>
      </c>
      <c r="N60" s="215">
        <v>0</v>
      </c>
      <c r="O60" s="215">
        <v>0</v>
      </c>
      <c r="P60" s="215">
        <v>0</v>
      </c>
      <c r="Q60" s="221">
        <f>$N$60+$O$60+$P$60</f>
        <v>0</v>
      </c>
      <c r="R60" s="221">
        <f>$Q$60+$H$60</f>
        <v>0</v>
      </c>
      <c r="S60" s="218">
        <f>IFERROR(($R$60/('Table I'!$R$12)*100),0)</f>
        <v>0</v>
      </c>
      <c r="T60" s="223">
        <v>0</v>
      </c>
      <c r="U60" s="219">
        <f>IFERROR($T$60/$E$60*100,0)</f>
        <v>0</v>
      </c>
      <c r="V60" s="150"/>
      <c r="W60" s="255"/>
      <c r="X60" s="272"/>
      <c r="Y60" s="255"/>
      <c r="Z60" s="272"/>
      <c r="AA60" s="255"/>
      <c r="AB60" s="272"/>
      <c r="AC60" s="151"/>
      <c r="AD60" s="216">
        <v>0</v>
      </c>
      <c r="AE60" s="142">
        <v>0</v>
      </c>
      <c r="AF60" s="142">
        <v>0</v>
      </c>
      <c r="AG60" s="142">
        <v>0</v>
      </c>
    </row>
    <row r="61" spans="1:33" s="222" customFormat="1" ht="19.5" customHeight="1" x14ac:dyDescent="0.25">
      <c r="A61" s="143" t="s">
        <v>55</v>
      </c>
      <c r="B61" s="143" t="s">
        <v>98</v>
      </c>
      <c r="C61" s="140" t="s">
        <v>5</v>
      </c>
      <c r="D61" s="213">
        <v>0</v>
      </c>
      <c r="E61" s="223">
        <v>0</v>
      </c>
      <c r="F61" s="215">
        <v>0</v>
      </c>
      <c r="G61" s="215">
        <v>0</v>
      </c>
      <c r="H61" s="215">
        <f>$E$61+$F$61+$G$61</f>
        <v>0</v>
      </c>
      <c r="I61" s="218">
        <f>IFERROR($H$61/'Table I'!$E$12*100,0)</f>
        <v>0</v>
      </c>
      <c r="J61" s="215">
        <f>$H$61</f>
        <v>0</v>
      </c>
      <c r="K61" s="215">
        <v>0</v>
      </c>
      <c r="L61" s="215">
        <f>$J$61+$K$61</f>
        <v>0</v>
      </c>
      <c r="M61" s="218">
        <f>IFERROR($L$61/'Table I'!$E$12*100,0)</f>
        <v>0</v>
      </c>
      <c r="N61" s="215">
        <v>0</v>
      </c>
      <c r="O61" s="215">
        <v>0</v>
      </c>
      <c r="P61" s="215">
        <v>0</v>
      </c>
      <c r="Q61" s="221">
        <f>$N$61+$O$61+$P$61</f>
        <v>0</v>
      </c>
      <c r="R61" s="221">
        <f>$Q$61+$H$61</f>
        <v>0</v>
      </c>
      <c r="S61" s="218">
        <f>IFERROR(($R$61/('Table I'!$R$12)*100),0)</f>
        <v>0</v>
      </c>
      <c r="T61" s="223">
        <v>0</v>
      </c>
      <c r="U61" s="219">
        <f>IFERROR($T$61/$E$61*100,0)</f>
        <v>0</v>
      </c>
      <c r="V61" s="150"/>
      <c r="W61" s="255"/>
      <c r="X61" s="272"/>
      <c r="Y61" s="255"/>
      <c r="Z61" s="272"/>
      <c r="AA61" s="255"/>
      <c r="AB61" s="272"/>
      <c r="AC61" s="151"/>
      <c r="AD61" s="216">
        <v>0</v>
      </c>
      <c r="AE61" s="142">
        <v>0</v>
      </c>
      <c r="AF61" s="142">
        <v>0</v>
      </c>
      <c r="AG61" s="142">
        <v>0</v>
      </c>
    </row>
    <row r="62" spans="1:33" s="222" customFormat="1" ht="66.75" customHeight="1" x14ac:dyDescent="0.25">
      <c r="A62" s="143" t="s">
        <v>56</v>
      </c>
      <c r="B62" s="143" t="s">
        <v>274</v>
      </c>
      <c r="C62" s="140" t="s">
        <v>5</v>
      </c>
      <c r="D62" s="213">
        <v>0</v>
      </c>
      <c r="E62" s="223">
        <v>0</v>
      </c>
      <c r="F62" s="215">
        <v>0</v>
      </c>
      <c r="G62" s="215">
        <v>0</v>
      </c>
      <c r="H62" s="215">
        <f>$E$62+$F$62+$G$62</f>
        <v>0</v>
      </c>
      <c r="I62" s="218">
        <f>IFERROR($H$62/'Table I'!$E$12*100,0)</f>
        <v>0</v>
      </c>
      <c r="J62" s="215">
        <f>$H$62</f>
        <v>0</v>
      </c>
      <c r="K62" s="215">
        <v>0</v>
      </c>
      <c r="L62" s="215">
        <f>$J$62+$K$62</f>
        <v>0</v>
      </c>
      <c r="M62" s="218">
        <f>IFERROR($L$62/'Table I'!$E$12*100,0)</f>
        <v>0</v>
      </c>
      <c r="N62" s="215">
        <v>0</v>
      </c>
      <c r="O62" s="215">
        <v>0</v>
      </c>
      <c r="P62" s="215">
        <v>0</v>
      </c>
      <c r="Q62" s="221">
        <f>$N$62+$O$62+$P$62</f>
        <v>0</v>
      </c>
      <c r="R62" s="221">
        <f>$Q$62+$H$62</f>
        <v>0</v>
      </c>
      <c r="S62" s="218">
        <f>IFERROR(($R$62/('Table I'!$R$12)*100),0)</f>
        <v>0</v>
      </c>
      <c r="T62" s="223">
        <v>0</v>
      </c>
      <c r="U62" s="219">
        <f>IFERROR($T$62/$E$62*100,0)</f>
        <v>0</v>
      </c>
      <c r="V62" s="150"/>
      <c r="W62" s="255"/>
      <c r="X62" s="272"/>
      <c r="Y62" s="255"/>
      <c r="Z62" s="272"/>
      <c r="AA62" s="255"/>
      <c r="AB62" s="272"/>
      <c r="AC62" s="151"/>
      <c r="AD62" s="216">
        <v>0</v>
      </c>
      <c r="AE62" s="142">
        <v>0</v>
      </c>
      <c r="AF62" s="142">
        <v>0</v>
      </c>
      <c r="AG62" s="142">
        <v>0</v>
      </c>
    </row>
    <row r="63" spans="1:33" s="222" customFormat="1" ht="68.25" customHeight="1" x14ac:dyDescent="0.25">
      <c r="A63" s="143" t="s">
        <v>77</v>
      </c>
      <c r="B63" s="143" t="s">
        <v>275</v>
      </c>
      <c r="C63" s="140" t="s">
        <v>5</v>
      </c>
      <c r="D63" s="213">
        <v>0</v>
      </c>
      <c r="E63" s="223">
        <v>0</v>
      </c>
      <c r="F63" s="215">
        <v>0</v>
      </c>
      <c r="G63" s="215">
        <v>0</v>
      </c>
      <c r="H63" s="215">
        <f>$E$63+$F$63+$G$63</f>
        <v>0</v>
      </c>
      <c r="I63" s="218">
        <f>IFERROR($H$63/'Table I'!$E$12*100,0)</f>
        <v>0</v>
      </c>
      <c r="J63" s="215">
        <f>$H$63</f>
        <v>0</v>
      </c>
      <c r="K63" s="215">
        <v>0</v>
      </c>
      <c r="L63" s="215">
        <f>$J$63+$K$63</f>
        <v>0</v>
      </c>
      <c r="M63" s="218">
        <f>IFERROR($L$63/'Table I'!$E$12*100,0)</f>
        <v>0</v>
      </c>
      <c r="N63" s="215">
        <v>0</v>
      </c>
      <c r="O63" s="215">
        <v>0</v>
      </c>
      <c r="P63" s="215">
        <v>0</v>
      </c>
      <c r="Q63" s="221">
        <f>$N$63+$O$63+$P$63</f>
        <v>0</v>
      </c>
      <c r="R63" s="221">
        <f>$Q$63+$H$63</f>
        <v>0</v>
      </c>
      <c r="S63" s="218">
        <f>IFERROR(($R$63/('Table I'!$R$12)*100),0)</f>
        <v>0</v>
      </c>
      <c r="T63" s="223">
        <v>0</v>
      </c>
      <c r="U63" s="219">
        <f>IFERROR($T$63/$E$63*100,0)</f>
        <v>0</v>
      </c>
      <c r="V63" s="150"/>
      <c r="W63" s="255"/>
      <c r="X63" s="272"/>
      <c r="Y63" s="255"/>
      <c r="Z63" s="272"/>
      <c r="AA63" s="255"/>
      <c r="AB63" s="272"/>
      <c r="AC63" s="151"/>
      <c r="AD63" s="216">
        <v>0</v>
      </c>
      <c r="AE63" s="142">
        <v>0</v>
      </c>
      <c r="AF63" s="142">
        <v>0</v>
      </c>
      <c r="AG63" s="142">
        <v>0</v>
      </c>
    </row>
    <row r="64" spans="1:33" s="222" customFormat="1" ht="35.25" customHeight="1" x14ac:dyDescent="0.25">
      <c r="A64" s="143" t="s">
        <v>61</v>
      </c>
      <c r="B64" s="143" t="s">
        <v>99</v>
      </c>
      <c r="C64" s="140" t="s">
        <v>5</v>
      </c>
      <c r="D64" s="213">
        <v>0</v>
      </c>
      <c r="E64" s="223">
        <v>0</v>
      </c>
      <c r="F64" s="215">
        <v>0</v>
      </c>
      <c r="G64" s="215">
        <v>0</v>
      </c>
      <c r="H64" s="215">
        <f>$E$64+$F$64+$G$64</f>
        <v>0</v>
      </c>
      <c r="I64" s="218">
        <f>IFERROR($H$64/'Table I'!$E$12*100,0)</f>
        <v>0</v>
      </c>
      <c r="J64" s="215">
        <f>$H$64</f>
        <v>0</v>
      </c>
      <c r="K64" s="215">
        <v>0</v>
      </c>
      <c r="L64" s="215">
        <f>$J$64+$K$64</f>
        <v>0</v>
      </c>
      <c r="M64" s="218">
        <f>IFERROR($L$64/'Table I'!$E$12*100,0)</f>
        <v>0</v>
      </c>
      <c r="N64" s="215">
        <v>0</v>
      </c>
      <c r="O64" s="215">
        <v>0</v>
      </c>
      <c r="P64" s="215">
        <v>0</v>
      </c>
      <c r="Q64" s="221">
        <f>$N$64+$O$64+$P$64</f>
        <v>0</v>
      </c>
      <c r="R64" s="221">
        <f>$Q$64+$H$64</f>
        <v>0</v>
      </c>
      <c r="S64" s="218">
        <f>IFERROR(($R$64/('Table I'!$R$12)*100),0)</f>
        <v>0</v>
      </c>
      <c r="T64" s="223">
        <v>0</v>
      </c>
      <c r="U64" s="219">
        <f>IFERROR($T$64/$E$64*100,0)</f>
        <v>0</v>
      </c>
      <c r="V64" s="150"/>
      <c r="W64" s="255"/>
      <c r="X64" s="272"/>
      <c r="Y64" s="255"/>
      <c r="Z64" s="272"/>
      <c r="AA64" s="255"/>
      <c r="AB64" s="272"/>
      <c r="AC64" s="151"/>
      <c r="AD64" s="216">
        <v>0</v>
      </c>
      <c r="AE64" s="142">
        <v>0</v>
      </c>
      <c r="AF64" s="142">
        <v>0</v>
      </c>
      <c r="AG64" s="142">
        <v>0</v>
      </c>
    </row>
    <row r="65" spans="1:33" s="222" customFormat="1" ht="34.5" customHeight="1" x14ac:dyDescent="0.25">
      <c r="A65" s="143" t="s">
        <v>79</v>
      </c>
      <c r="B65" s="143" t="s">
        <v>211</v>
      </c>
      <c r="C65" s="140" t="s">
        <v>5</v>
      </c>
      <c r="D65" s="213">
        <v>0</v>
      </c>
      <c r="E65" s="223">
        <v>0</v>
      </c>
      <c r="F65" s="215">
        <v>0</v>
      </c>
      <c r="G65" s="215">
        <v>0</v>
      </c>
      <c r="H65" s="215">
        <f>$E$65+$F$65+$G$65</f>
        <v>0</v>
      </c>
      <c r="I65" s="218">
        <f>IFERROR($H$65/'Table I'!$E$12*100,0)</f>
        <v>0</v>
      </c>
      <c r="J65" s="215">
        <f>$H$65</f>
        <v>0</v>
      </c>
      <c r="K65" s="215">
        <v>0</v>
      </c>
      <c r="L65" s="215">
        <f>$J$65+$K$65</f>
        <v>0</v>
      </c>
      <c r="M65" s="218">
        <f>IFERROR($L$65/'Table I'!$E$12*100,0)</f>
        <v>0</v>
      </c>
      <c r="N65" s="215">
        <v>0</v>
      </c>
      <c r="O65" s="215">
        <v>0</v>
      </c>
      <c r="P65" s="215">
        <v>0</v>
      </c>
      <c r="Q65" s="221">
        <f>$N$65+$O$65+$P$65</f>
        <v>0</v>
      </c>
      <c r="R65" s="221">
        <f>$Q$65+$H$65</f>
        <v>0</v>
      </c>
      <c r="S65" s="218">
        <f>IFERROR(($R$65/('Table I'!$R$12)*100),0)</f>
        <v>0</v>
      </c>
      <c r="T65" s="223">
        <v>0</v>
      </c>
      <c r="U65" s="219">
        <f>IFERROR($T$65/$E$65*100,0)</f>
        <v>0</v>
      </c>
      <c r="V65" s="150"/>
      <c r="W65" s="255"/>
      <c r="X65" s="272"/>
      <c r="Y65" s="255"/>
      <c r="Z65" s="272"/>
      <c r="AA65" s="255"/>
      <c r="AB65" s="272"/>
      <c r="AC65" s="151"/>
      <c r="AD65" s="216">
        <v>0</v>
      </c>
      <c r="AE65" s="142">
        <v>0</v>
      </c>
      <c r="AF65" s="142">
        <v>0</v>
      </c>
      <c r="AG65" s="142">
        <v>0</v>
      </c>
    </row>
    <row r="66" spans="1:33" s="222" customFormat="1" ht="32.25" customHeight="1" x14ac:dyDescent="0.25">
      <c r="A66" s="143" t="s">
        <v>80</v>
      </c>
      <c r="B66" s="143" t="s">
        <v>212</v>
      </c>
      <c r="C66" s="140" t="s">
        <v>5</v>
      </c>
      <c r="D66" s="213">
        <v>0</v>
      </c>
      <c r="E66" s="223">
        <v>0</v>
      </c>
      <c r="F66" s="215">
        <v>0</v>
      </c>
      <c r="G66" s="215">
        <v>0</v>
      </c>
      <c r="H66" s="215">
        <f>$E$66+$F$66+$G$66</f>
        <v>0</v>
      </c>
      <c r="I66" s="218">
        <f>IFERROR($H$66/'Table I'!$E$12*100,0)</f>
        <v>0</v>
      </c>
      <c r="J66" s="215">
        <f>$H$66</f>
        <v>0</v>
      </c>
      <c r="K66" s="215">
        <v>0</v>
      </c>
      <c r="L66" s="215">
        <f>$J$66+$K$66</f>
        <v>0</v>
      </c>
      <c r="M66" s="218">
        <f>IFERROR($L$66/'Table I'!$E$12*100,0)</f>
        <v>0</v>
      </c>
      <c r="N66" s="215">
        <v>0</v>
      </c>
      <c r="O66" s="215">
        <v>0</v>
      </c>
      <c r="P66" s="215">
        <v>0</v>
      </c>
      <c r="Q66" s="221">
        <f>$N$66+$O$66+$P$66</f>
        <v>0</v>
      </c>
      <c r="R66" s="221">
        <f>$Q$66+$H$66</f>
        <v>0</v>
      </c>
      <c r="S66" s="218">
        <f>IFERROR(($R$66/('Table I'!$R$12)*100),0)</f>
        <v>0</v>
      </c>
      <c r="T66" s="223">
        <v>0</v>
      </c>
      <c r="U66" s="219">
        <f>IFERROR($T$66/$E$66*100,0)</f>
        <v>0</v>
      </c>
      <c r="V66" s="150"/>
      <c r="W66" s="255"/>
      <c r="X66" s="272"/>
      <c r="Y66" s="255"/>
      <c r="Z66" s="272"/>
      <c r="AA66" s="255"/>
      <c r="AB66" s="272"/>
      <c r="AC66" s="151"/>
      <c r="AD66" s="216">
        <v>0</v>
      </c>
      <c r="AE66" s="142">
        <v>0</v>
      </c>
      <c r="AF66" s="142">
        <v>0</v>
      </c>
      <c r="AG66" s="142">
        <v>0</v>
      </c>
    </row>
    <row r="67" spans="1:33" s="222" customFormat="1" ht="19.5" customHeight="1" x14ac:dyDescent="0.25">
      <c r="A67" s="143" t="s">
        <v>82</v>
      </c>
      <c r="B67" s="143" t="s">
        <v>100</v>
      </c>
      <c r="C67" s="140" t="s">
        <v>5</v>
      </c>
      <c r="D67" s="213">
        <v>0</v>
      </c>
      <c r="E67" s="223">
        <v>0</v>
      </c>
      <c r="F67" s="215">
        <v>0</v>
      </c>
      <c r="G67" s="215">
        <v>0</v>
      </c>
      <c r="H67" s="215">
        <f>$E$67+$F$67+$G$67</f>
        <v>0</v>
      </c>
      <c r="I67" s="218">
        <f>IFERROR($H$67/'Table I'!$E$12*100,0)</f>
        <v>0</v>
      </c>
      <c r="J67" s="215">
        <f>$H$67</f>
        <v>0</v>
      </c>
      <c r="K67" s="215">
        <v>0</v>
      </c>
      <c r="L67" s="215">
        <f>$J$67+$K$67</f>
        <v>0</v>
      </c>
      <c r="M67" s="218">
        <f>IFERROR($L$67/'Table I'!$E$12*100,0)</f>
        <v>0</v>
      </c>
      <c r="N67" s="215">
        <v>0</v>
      </c>
      <c r="O67" s="215">
        <v>0</v>
      </c>
      <c r="P67" s="215">
        <v>0</v>
      </c>
      <c r="Q67" s="221">
        <f>$N$67+$O$67+$P$67</f>
        <v>0</v>
      </c>
      <c r="R67" s="221">
        <f>$Q$67+$H$67</f>
        <v>0</v>
      </c>
      <c r="S67" s="218">
        <f>IFERROR(($R$67/('Table I'!$R$12)*100),0)</f>
        <v>0</v>
      </c>
      <c r="T67" s="223">
        <v>0</v>
      </c>
      <c r="U67" s="219">
        <f>IFERROR($T$67/$E$67*100,0)</f>
        <v>0</v>
      </c>
      <c r="V67" s="150"/>
      <c r="W67" s="255"/>
      <c r="X67" s="272"/>
      <c r="Y67" s="255"/>
      <c r="Z67" s="272"/>
      <c r="AA67" s="255"/>
      <c r="AB67" s="272"/>
      <c r="AC67" s="151"/>
      <c r="AD67" s="216">
        <v>0</v>
      </c>
      <c r="AE67" s="142">
        <v>0</v>
      </c>
      <c r="AF67" s="142">
        <v>0</v>
      </c>
      <c r="AG67" s="142">
        <v>0</v>
      </c>
    </row>
    <row r="68" spans="1:33" s="222" customFormat="1" ht="19.5" customHeight="1" x14ac:dyDescent="0.25">
      <c r="A68" s="143" t="s">
        <v>84</v>
      </c>
      <c r="B68" s="143" t="s">
        <v>101</v>
      </c>
      <c r="C68" s="140" t="s">
        <v>5</v>
      </c>
      <c r="D68" s="213">
        <v>0</v>
      </c>
      <c r="E68" s="223">
        <v>0</v>
      </c>
      <c r="F68" s="215">
        <v>0</v>
      </c>
      <c r="G68" s="215">
        <v>0</v>
      </c>
      <c r="H68" s="215">
        <f>$E$68+$F$68+$G$68</f>
        <v>0</v>
      </c>
      <c r="I68" s="218">
        <f>IFERROR($H$68/'Table I'!$E$12*100,0)</f>
        <v>0</v>
      </c>
      <c r="J68" s="215">
        <f>$H$68</f>
        <v>0</v>
      </c>
      <c r="K68" s="215">
        <v>0</v>
      </c>
      <c r="L68" s="215">
        <f>$J$68+$K$68</f>
        <v>0</v>
      </c>
      <c r="M68" s="218">
        <f>IFERROR($L$68/'Table I'!$E$12*100,0)</f>
        <v>0</v>
      </c>
      <c r="N68" s="215">
        <v>0</v>
      </c>
      <c r="O68" s="215">
        <v>0</v>
      </c>
      <c r="P68" s="215">
        <v>0</v>
      </c>
      <c r="Q68" s="221">
        <f>$N$68+$O$68+$P$68</f>
        <v>0</v>
      </c>
      <c r="R68" s="221">
        <f>$Q$68+$H$68</f>
        <v>0</v>
      </c>
      <c r="S68" s="218">
        <f>IFERROR(($R$68/('Table I'!$R$12)*100),0)</f>
        <v>0</v>
      </c>
      <c r="T68" s="223">
        <v>0</v>
      </c>
      <c r="U68" s="219">
        <f>IFERROR($T$68/$E$68*100,0)</f>
        <v>0</v>
      </c>
      <c r="V68" s="150"/>
      <c r="W68" s="255"/>
      <c r="X68" s="272"/>
      <c r="Y68" s="255"/>
      <c r="Z68" s="272"/>
      <c r="AA68" s="255"/>
      <c r="AB68" s="272"/>
      <c r="AC68" s="151"/>
      <c r="AD68" s="216">
        <v>0</v>
      </c>
      <c r="AE68" s="142">
        <v>0</v>
      </c>
      <c r="AF68" s="142">
        <v>0</v>
      </c>
      <c r="AG68" s="142">
        <v>0</v>
      </c>
    </row>
    <row r="69" spans="1:33" s="222" customFormat="1" ht="19.5" customHeight="1" x14ac:dyDescent="0.25">
      <c r="A69" s="143" t="s">
        <v>86</v>
      </c>
      <c r="B69" s="143" t="s">
        <v>102</v>
      </c>
      <c r="C69" s="140" t="s">
        <v>5</v>
      </c>
      <c r="D69" s="213">
        <v>0</v>
      </c>
      <c r="E69" s="223">
        <v>0</v>
      </c>
      <c r="F69" s="215">
        <v>0</v>
      </c>
      <c r="G69" s="215">
        <v>0</v>
      </c>
      <c r="H69" s="215">
        <f>$E$69+$F$69+$G$69</f>
        <v>0</v>
      </c>
      <c r="I69" s="218">
        <f>IFERROR($H$69/'Table I'!$E$12*100,0)</f>
        <v>0</v>
      </c>
      <c r="J69" s="215">
        <f>$H$69</f>
        <v>0</v>
      </c>
      <c r="K69" s="215">
        <v>0</v>
      </c>
      <c r="L69" s="215">
        <f>$J$69+$K$69</f>
        <v>0</v>
      </c>
      <c r="M69" s="218">
        <f>IFERROR($L$69/'Table I'!$E$12*100,0)</f>
        <v>0</v>
      </c>
      <c r="N69" s="215">
        <v>0</v>
      </c>
      <c r="O69" s="215">
        <v>0</v>
      </c>
      <c r="P69" s="215">
        <v>0</v>
      </c>
      <c r="Q69" s="221">
        <f>$N$69+$O$69+$P$69</f>
        <v>0</v>
      </c>
      <c r="R69" s="221">
        <f>$Q$69+$H$69</f>
        <v>0</v>
      </c>
      <c r="S69" s="218">
        <f>IFERROR(($R$69/('Table I'!$R$12)*100),0)</f>
        <v>0</v>
      </c>
      <c r="T69" s="223">
        <v>0</v>
      </c>
      <c r="U69" s="219">
        <f>IFERROR($T$69/$E$69*100,0)</f>
        <v>0</v>
      </c>
      <c r="V69" s="150"/>
      <c r="W69" s="255"/>
      <c r="X69" s="272"/>
      <c r="Y69" s="255"/>
      <c r="Z69" s="272"/>
      <c r="AA69" s="255"/>
      <c r="AB69" s="272"/>
      <c r="AC69" s="151"/>
      <c r="AD69" s="216">
        <v>0</v>
      </c>
      <c r="AE69" s="142">
        <v>0</v>
      </c>
      <c r="AF69" s="142">
        <v>0</v>
      </c>
      <c r="AG69" s="142">
        <v>0</v>
      </c>
    </row>
    <row r="70" spans="1:33" s="222" customFormat="1" ht="19.5" customHeight="1" x14ac:dyDescent="0.25">
      <c r="A70" s="143" t="s">
        <v>103</v>
      </c>
      <c r="B70" s="143" t="s">
        <v>227</v>
      </c>
      <c r="C70" s="140" t="s">
        <v>5</v>
      </c>
      <c r="D70" s="213">
        <v>0</v>
      </c>
      <c r="E70" s="223">
        <v>0</v>
      </c>
      <c r="F70" s="215">
        <v>0</v>
      </c>
      <c r="G70" s="215">
        <v>0</v>
      </c>
      <c r="H70" s="215">
        <f>$E$70+$F$70+$G$70</f>
        <v>0</v>
      </c>
      <c r="I70" s="218">
        <f>IFERROR($H$70/'Table I'!$E$12*100,0)</f>
        <v>0</v>
      </c>
      <c r="J70" s="215">
        <f>$H$70</f>
        <v>0</v>
      </c>
      <c r="K70" s="215">
        <v>0</v>
      </c>
      <c r="L70" s="215">
        <f>$J$70+$K$70</f>
        <v>0</v>
      </c>
      <c r="M70" s="218">
        <f>IFERROR($L$70/'Table I'!$E$12*100,0)</f>
        <v>0</v>
      </c>
      <c r="N70" s="215">
        <v>0</v>
      </c>
      <c r="O70" s="215">
        <v>0</v>
      </c>
      <c r="P70" s="215">
        <v>0</v>
      </c>
      <c r="Q70" s="221">
        <f>$N$70+$O$70+$P$70</f>
        <v>0</v>
      </c>
      <c r="R70" s="221">
        <f>$Q$70+$H$70</f>
        <v>0</v>
      </c>
      <c r="S70" s="218">
        <f>IFERROR(($R$70/('Table I'!$R$12)*100),0)</f>
        <v>0</v>
      </c>
      <c r="T70" s="223">
        <v>0</v>
      </c>
      <c r="U70" s="219">
        <f>IFERROR($T$70/$E$70*100,0)</f>
        <v>0</v>
      </c>
      <c r="V70" s="150"/>
      <c r="W70" s="255"/>
      <c r="X70" s="272"/>
      <c r="Y70" s="255"/>
      <c r="Z70" s="272"/>
      <c r="AA70" s="255"/>
      <c r="AB70" s="272"/>
      <c r="AC70" s="151"/>
      <c r="AD70" s="216">
        <v>0</v>
      </c>
      <c r="AE70" s="142">
        <v>0</v>
      </c>
      <c r="AF70" s="142">
        <v>0</v>
      </c>
      <c r="AG70" s="142">
        <v>0</v>
      </c>
    </row>
    <row r="71" spans="1:33" s="222" customFormat="1" ht="19.5" customHeight="1" x14ac:dyDescent="0.25">
      <c r="A71" s="143" t="s">
        <v>221</v>
      </c>
      <c r="B71" s="143" t="s">
        <v>263</v>
      </c>
      <c r="C71" s="140" t="s">
        <v>5</v>
      </c>
      <c r="D71" s="213">
        <f>$D$72+$D$73+$D$74+$D$75+$D$76+$D$77+$D$78+$D$79+$D$80+$D$81+$D$82+$D$83+$D$84+$D$85+$D$86+$D$87+$D$88+$D$89+$D$90+$D$91+$D$92</f>
        <v>0</v>
      </c>
      <c r="E71" s="214">
        <f>$E$72+$E$73+$E$74+$E$75+$E$76+$E$77+$E$78+$E$79+$E$80+$E$81+$E$82+$E$83+$E$84+$E$85+$E$86+$E$87+$E$88+$E$89+$E$90+$E$91+$E$92</f>
        <v>0</v>
      </c>
      <c r="F71" s="215">
        <f>$F$72+$F$73+$F$74+$F$75+$F$76+$F$77+$F$78+$F$79+$F$80+$F$81+$F$82+$F$83+$F$84+$F$85+$F$86+$F$87+$F$88+$F$89+$F$90+$F$91+$F$92</f>
        <v>0</v>
      </c>
      <c r="G71" s="215">
        <f>$G$72+$G$73+$G$74+$G$75+$G$76+$G$77+$G$78+$G$79+$G$80+$G$81+$G$82+$G$83+$G$84+$G$85+$G$86+$G$87+$G$88+$G$89+$G$90+$G$91+$G$92</f>
        <v>0</v>
      </c>
      <c r="H71" s="215">
        <f>$E$71+$F$71+$G$71</f>
        <v>0</v>
      </c>
      <c r="I71" s="218">
        <f>IFERROR($H$71/'Table I'!$E$12*100,0)</f>
        <v>0</v>
      </c>
      <c r="J71" s="215">
        <f>$H$71</f>
        <v>0</v>
      </c>
      <c r="K71" s="215">
        <f>$K$72+$K$73+$K$74+$K$75+$K$76+$K$77+$K$78+$K$79+$K$80+$K$81+$K$82+$K$83+$K$84+$K$85+$K$86+$K$87+$K$88+$K$89+$K$90+$K$91+$K$92</f>
        <v>0</v>
      </c>
      <c r="L71" s="215">
        <f>$J$71+$K$71</f>
        <v>0</v>
      </c>
      <c r="M71" s="218">
        <f>IFERROR($L$71/'Table I'!$E$12*100,0)</f>
        <v>0</v>
      </c>
      <c r="N71" s="215">
        <f>$N$72+$N$73+$N$74+$N$75+$N$76+$N$77+$N$78+$N$79+$N$80+$N$81+$N$82+$N$83+$N$84+$N$85+$N$86+$N$87+$N$88+$N$89+$N$90+$N$91+$N$92</f>
        <v>0</v>
      </c>
      <c r="O71" s="215">
        <f>$O$72+$O$73+$O$74+$O$75+$O$76+$O$77+$O$78+$O$79+$O$80+$O$81+$O$82+$O$83+$O$84+$O$85+$O$86+$O$87+$O$88+$O$89+$O$90+$O$91+$O$92</f>
        <v>0</v>
      </c>
      <c r="P71" s="215">
        <f>P72+P73+P74+P75+P76+P77+P78+P79+P80+P81+P82+P83+P84+P85+P86+P87+P88+P89+P90+P91+P92</f>
        <v>0</v>
      </c>
      <c r="Q71" s="227">
        <f>Q72+Q73+Q74+Q75+Q76+Q77+Q78+Q79+Q80+Q81+Q82+Q83+Q84+Q85+Q86+Q87+Q88+Q89+Q90+Q91+Q92</f>
        <v>0</v>
      </c>
      <c r="R71" s="227">
        <f>$Q$71+$H$71</f>
        <v>0</v>
      </c>
      <c r="S71" s="218">
        <f>IFERROR(($R$71/('Table I'!$R$12)*100),0)</f>
        <v>0</v>
      </c>
      <c r="T71" s="223">
        <f>$T$72+$T$73+$T$74+$T$75+$T$76+$T$77+$T$78+$T$79+$T$80+$T$81+$T$82+$T$83+$T$84+$T$85+$T$86+$T$87+$T$88+$T$89+$T$90+$T$91+$T$92</f>
        <v>0</v>
      </c>
      <c r="U71" s="219">
        <f>IFERROR($T$71/$E$71*100,0)</f>
        <v>0</v>
      </c>
      <c r="V71" s="150"/>
      <c r="W71" s="255"/>
      <c r="X71" s="272"/>
      <c r="Y71" s="255"/>
      <c r="Z71" s="272"/>
      <c r="AA71" s="255"/>
      <c r="AB71" s="272"/>
      <c r="AC71" s="151"/>
      <c r="AD71" s="216">
        <f>$AD$72+$AD$73+$AD$74+$AD$75+$AD$76+$AD$77+$AD$78+$AD$79+$AD$80+$AD$81+$AD$82+$AD$83+$AD$84+$AD$85+$AD$86+$AD$87+$AD$88+$AD$89+$AD$90+$AD$91+$AD$92</f>
        <v>0</v>
      </c>
      <c r="AE71" s="216">
        <f>$AE$72+$AE$73+$AE$74+$AE$75+$AE$76+$AE$77+$AE$78+$AE$79+$AE$80+$AE$81+$AE$82+$AE$83+$AE$84+$AE$85+$AE$86+$AE$87+$AE$88+$AE$89+$AE$90+$AE$91+$AE$92</f>
        <v>0</v>
      </c>
      <c r="AF71" s="142">
        <f>$AF$72+$AF$73+$AF$74+$AF$75+$AF$76+$AF$77+$AF$78+$AF$79+$AF$80+$AF$81+$AF$82+$AF$83+$AF$84+$AF$85+$AF$86+$AF$87+$AF$88+$AF$89+$AF$90+$AF$91+$AF$92</f>
        <v>0</v>
      </c>
      <c r="AG71" s="142">
        <f>$AG$72+$AG$73+$AG$74+$AG$75+$AG$76+$AG$77+$AG$78+$AG$79+$AG$80+$AG$81+$AG$82+$AG$83+$AG$84+$AG$85+$AG$86+$AG$87+$AG$88+$AG$89+$AG$90+$AG$91+$AG$92</f>
        <v>0</v>
      </c>
    </row>
    <row r="72" spans="1:33" s="217" customFormat="1" ht="15.75" customHeight="1" x14ac:dyDescent="0.25">
      <c r="A72" s="142"/>
      <c r="B72" s="143" t="s">
        <v>233</v>
      </c>
      <c r="C72" s="140" t="s">
        <v>5</v>
      </c>
      <c r="D72" s="213">
        <v>0</v>
      </c>
      <c r="E72" s="213">
        <v>0</v>
      </c>
      <c r="F72" s="142">
        <v>0</v>
      </c>
      <c r="G72" s="142">
        <v>0</v>
      </c>
      <c r="H72" s="215">
        <f>$E$72+$F$72+$G$72</f>
        <v>0</v>
      </c>
      <c r="I72" s="144">
        <f>IFERROR($H$72/'Table I'!$E$12*100,0)</f>
        <v>0</v>
      </c>
      <c r="J72" s="142">
        <f>$H$72</f>
        <v>0</v>
      </c>
      <c r="K72" s="142">
        <v>0</v>
      </c>
      <c r="L72" s="142">
        <f>$J$72+$K$72</f>
        <v>0</v>
      </c>
      <c r="M72" s="218">
        <f>IFERROR($L$72/'Table I'!$E$12*100,0)</f>
        <v>0</v>
      </c>
      <c r="N72" s="142">
        <v>0</v>
      </c>
      <c r="O72" s="142">
        <v>0</v>
      </c>
      <c r="P72" s="142">
        <v>0</v>
      </c>
      <c r="Q72" s="145">
        <f>$N$72+$O$72+$P$72</f>
        <v>0</v>
      </c>
      <c r="R72" s="145">
        <f>$Q$72+$H$72</f>
        <v>0</v>
      </c>
      <c r="S72" s="144">
        <f>IFERROR(($R$72/('Table I'!$R$12)*100),0)</f>
        <v>0</v>
      </c>
      <c r="T72" s="258">
        <v>0</v>
      </c>
      <c r="U72" s="162">
        <f t="shared" ref="U72:U77" si="2">IFERROR(T72/E72*100,0)</f>
        <v>0</v>
      </c>
      <c r="V72" s="165"/>
      <c r="W72" s="164"/>
      <c r="X72" s="163"/>
      <c r="Y72" s="164"/>
      <c r="Z72" s="163"/>
      <c r="AA72" s="164"/>
      <c r="AB72" s="163"/>
      <c r="AC72" s="151"/>
      <c r="AD72" s="216">
        <v>0</v>
      </c>
      <c r="AE72" s="142">
        <v>0</v>
      </c>
      <c r="AF72" s="142">
        <v>0</v>
      </c>
      <c r="AG72" s="142">
        <v>0</v>
      </c>
    </row>
    <row r="73" spans="1:33" s="217" customFormat="1" ht="15.75" customHeight="1" x14ac:dyDescent="0.25">
      <c r="A73" s="142"/>
      <c r="B73" s="143" t="s">
        <v>234</v>
      </c>
      <c r="C73" s="140" t="s">
        <v>5</v>
      </c>
      <c r="D73" s="213">
        <v>0</v>
      </c>
      <c r="E73" s="213">
        <v>0</v>
      </c>
      <c r="F73" s="142">
        <v>0</v>
      </c>
      <c r="G73" s="142">
        <v>0</v>
      </c>
      <c r="H73" s="215">
        <f>$E$73+$F$73+$G$73</f>
        <v>0</v>
      </c>
      <c r="I73" s="144">
        <f>IFERROR($H$73/'Table I'!$E$12*100,0)</f>
        <v>0</v>
      </c>
      <c r="J73" s="142">
        <f>$H$73</f>
        <v>0</v>
      </c>
      <c r="K73" s="142">
        <v>0</v>
      </c>
      <c r="L73" s="142">
        <f>$J$73+$K$73</f>
        <v>0</v>
      </c>
      <c r="M73" s="218">
        <f>IFERROR($L$73/'Table I'!$E$12*100,0)</f>
        <v>0</v>
      </c>
      <c r="N73" s="142">
        <v>0</v>
      </c>
      <c r="O73" s="142">
        <v>0</v>
      </c>
      <c r="P73" s="142">
        <v>0</v>
      </c>
      <c r="Q73" s="145">
        <f>$N$73+$O$73+$P$73</f>
        <v>0</v>
      </c>
      <c r="R73" s="145">
        <f>$Q$73+$H$73</f>
        <v>0</v>
      </c>
      <c r="S73" s="144">
        <f>IFERROR(($R$73/('Table I'!$R$12)*100),0)</f>
        <v>0</v>
      </c>
      <c r="T73" s="258">
        <v>0</v>
      </c>
      <c r="U73" s="162">
        <f t="shared" si="2"/>
        <v>0</v>
      </c>
      <c r="V73" s="165"/>
      <c r="W73" s="164"/>
      <c r="X73" s="163"/>
      <c r="Y73" s="164"/>
      <c r="Z73" s="163"/>
      <c r="AA73" s="164"/>
      <c r="AB73" s="163"/>
      <c r="AC73" s="166"/>
      <c r="AD73" s="216">
        <v>0</v>
      </c>
      <c r="AE73" s="142">
        <v>0</v>
      </c>
      <c r="AF73" s="142">
        <v>0</v>
      </c>
      <c r="AG73" s="142">
        <v>0</v>
      </c>
    </row>
    <row r="74" spans="1:33" s="217" customFormat="1" ht="15.75" customHeight="1" x14ac:dyDescent="0.25">
      <c r="A74" s="142"/>
      <c r="B74" s="143" t="s">
        <v>218</v>
      </c>
      <c r="C74" s="140" t="s">
        <v>5</v>
      </c>
      <c r="D74" s="213">
        <v>0</v>
      </c>
      <c r="E74" s="213">
        <v>0</v>
      </c>
      <c r="F74" s="142">
        <v>0</v>
      </c>
      <c r="G74" s="142">
        <v>0</v>
      </c>
      <c r="H74" s="215">
        <f>$E$74+$F$74+$G$74</f>
        <v>0</v>
      </c>
      <c r="I74" s="144">
        <f>IFERROR($H$74/'Table I'!$E$12*100,0)</f>
        <v>0</v>
      </c>
      <c r="J74" s="142">
        <f>$H$74</f>
        <v>0</v>
      </c>
      <c r="K74" s="142">
        <v>0</v>
      </c>
      <c r="L74" s="142">
        <f>$J$74+$K$74</f>
        <v>0</v>
      </c>
      <c r="M74" s="218">
        <f>IFERROR($L$74/'Table I'!$E$12*100,0)</f>
        <v>0</v>
      </c>
      <c r="N74" s="142">
        <v>0</v>
      </c>
      <c r="O74" s="142">
        <v>0</v>
      </c>
      <c r="P74" s="142">
        <v>0</v>
      </c>
      <c r="Q74" s="145">
        <f>$N$74+$O$74+$P$74</f>
        <v>0</v>
      </c>
      <c r="R74" s="145">
        <f>$Q$74+$H$74</f>
        <v>0</v>
      </c>
      <c r="S74" s="144">
        <f>IFERROR(($R$74/('Table I'!$R$12)*100),0)</f>
        <v>0</v>
      </c>
      <c r="T74" s="258">
        <v>0</v>
      </c>
      <c r="U74" s="162">
        <f t="shared" si="2"/>
        <v>0</v>
      </c>
      <c r="V74" s="165"/>
      <c r="W74" s="164"/>
      <c r="X74" s="163"/>
      <c r="Y74" s="164"/>
      <c r="Z74" s="163"/>
      <c r="AA74" s="164"/>
      <c r="AB74" s="163"/>
      <c r="AC74" s="166"/>
      <c r="AD74" s="216">
        <v>0</v>
      </c>
      <c r="AE74" s="142">
        <v>0</v>
      </c>
      <c r="AF74" s="142">
        <v>0</v>
      </c>
      <c r="AG74" s="142">
        <v>0</v>
      </c>
    </row>
    <row r="75" spans="1:33" s="217" customFormat="1" ht="15.75" customHeight="1" x14ac:dyDescent="0.25">
      <c r="A75" s="142"/>
      <c r="B75" s="143" t="s">
        <v>220</v>
      </c>
      <c r="C75" s="140" t="s">
        <v>5</v>
      </c>
      <c r="D75" s="213">
        <v>0</v>
      </c>
      <c r="E75" s="213">
        <v>0</v>
      </c>
      <c r="F75" s="142">
        <v>0</v>
      </c>
      <c r="G75" s="142">
        <v>0</v>
      </c>
      <c r="H75" s="215">
        <f>$E$75+$F$75+$G$75</f>
        <v>0</v>
      </c>
      <c r="I75" s="144">
        <f>IFERROR($H$75/'Table I'!$E$12*100,0)</f>
        <v>0</v>
      </c>
      <c r="J75" s="142">
        <f>$H$75</f>
        <v>0</v>
      </c>
      <c r="K75" s="142">
        <v>0</v>
      </c>
      <c r="L75" s="142">
        <f>$J$75+$K$75</f>
        <v>0</v>
      </c>
      <c r="M75" s="218">
        <f>IFERROR($L$75/'Table I'!$E$12*100,0)</f>
        <v>0</v>
      </c>
      <c r="N75" s="142">
        <v>0</v>
      </c>
      <c r="O75" s="142">
        <v>0</v>
      </c>
      <c r="P75" s="142">
        <v>0</v>
      </c>
      <c r="Q75" s="145">
        <f>$N$75+$O$75+$P$75</f>
        <v>0</v>
      </c>
      <c r="R75" s="145">
        <f>$Q$75+$H$75</f>
        <v>0</v>
      </c>
      <c r="S75" s="144">
        <f>IFERROR(($R$75/('Table I'!$R$12)*100),0)</f>
        <v>0</v>
      </c>
      <c r="T75" s="258">
        <v>0</v>
      </c>
      <c r="U75" s="162">
        <f t="shared" ref="U75" si="3">IFERROR(T75/E75*100,0)</f>
        <v>0</v>
      </c>
      <c r="V75" s="165"/>
      <c r="W75" s="164"/>
      <c r="X75" s="163"/>
      <c r="Y75" s="164"/>
      <c r="Z75" s="163"/>
      <c r="AA75" s="164"/>
      <c r="AB75" s="163"/>
      <c r="AC75" s="166"/>
      <c r="AD75" s="216">
        <v>0</v>
      </c>
      <c r="AE75" s="142">
        <v>0</v>
      </c>
      <c r="AF75" s="142">
        <v>0</v>
      </c>
      <c r="AG75" s="142">
        <v>0</v>
      </c>
    </row>
    <row r="76" spans="1:33" s="217" customFormat="1" ht="15.75" customHeight="1" x14ac:dyDescent="0.25">
      <c r="A76" s="142"/>
      <c r="B76" s="143" t="s">
        <v>219</v>
      </c>
      <c r="C76" s="140" t="s">
        <v>5</v>
      </c>
      <c r="D76" s="213">
        <v>0</v>
      </c>
      <c r="E76" s="213">
        <v>0</v>
      </c>
      <c r="F76" s="142">
        <v>0</v>
      </c>
      <c r="G76" s="142">
        <v>0</v>
      </c>
      <c r="H76" s="215">
        <f>$E$76+$F$76+$G$76</f>
        <v>0</v>
      </c>
      <c r="I76" s="144">
        <f>IFERROR($H$76/'Table I'!$E$12*100,0)</f>
        <v>0</v>
      </c>
      <c r="J76" s="142">
        <f>$H$76</f>
        <v>0</v>
      </c>
      <c r="K76" s="142">
        <v>0</v>
      </c>
      <c r="L76" s="142">
        <f>$J$76+$K$76</f>
        <v>0</v>
      </c>
      <c r="M76" s="218">
        <f>IFERROR($L$76/'Table I'!$E$12*100,0)</f>
        <v>0</v>
      </c>
      <c r="N76" s="142">
        <v>0</v>
      </c>
      <c r="O76" s="142">
        <v>0</v>
      </c>
      <c r="P76" s="142">
        <v>0</v>
      </c>
      <c r="Q76" s="145">
        <f>$N$76+$O$76+$P$76</f>
        <v>0</v>
      </c>
      <c r="R76" s="145">
        <f>$Q$76+$H$76</f>
        <v>0</v>
      </c>
      <c r="S76" s="144">
        <f>IFERROR(($R$76/('Table I'!$R$12)*100),0)</f>
        <v>0</v>
      </c>
      <c r="T76" s="258">
        <v>0</v>
      </c>
      <c r="U76" s="162">
        <f>IFERROR($T$76/$E$76*100,0)</f>
        <v>0</v>
      </c>
      <c r="V76" s="165"/>
      <c r="W76" s="164"/>
      <c r="X76" s="163"/>
      <c r="Y76" s="164"/>
      <c r="Z76" s="163"/>
      <c r="AA76" s="164"/>
      <c r="AB76" s="163"/>
      <c r="AC76" s="166"/>
      <c r="AD76" s="216">
        <v>0</v>
      </c>
      <c r="AE76" s="142">
        <v>0</v>
      </c>
      <c r="AF76" s="142">
        <v>0</v>
      </c>
      <c r="AG76" s="142">
        <v>0</v>
      </c>
    </row>
    <row r="77" spans="1:33" s="217" customFormat="1" ht="15.75" customHeight="1" x14ac:dyDescent="0.25">
      <c r="A77" s="142"/>
      <c r="B77" s="143" t="s">
        <v>235</v>
      </c>
      <c r="C77" s="140" t="s">
        <v>5</v>
      </c>
      <c r="D77" s="213">
        <v>0</v>
      </c>
      <c r="E77" s="213">
        <v>0</v>
      </c>
      <c r="F77" s="142">
        <v>0</v>
      </c>
      <c r="G77" s="142">
        <v>0</v>
      </c>
      <c r="H77" s="215">
        <f>$E$77+$F$77+$G$77</f>
        <v>0</v>
      </c>
      <c r="I77" s="144">
        <f>IFERROR($H$77/'Table I'!$E$12*100,0)</f>
        <v>0</v>
      </c>
      <c r="J77" s="142">
        <f>$H$77</f>
        <v>0</v>
      </c>
      <c r="K77" s="142">
        <v>0</v>
      </c>
      <c r="L77" s="142">
        <f>$J$77+$K$77</f>
        <v>0</v>
      </c>
      <c r="M77" s="218">
        <f>IFERROR($L$77/'Table I'!$E$12*100,0)</f>
        <v>0</v>
      </c>
      <c r="N77" s="142">
        <v>0</v>
      </c>
      <c r="O77" s="142">
        <v>0</v>
      </c>
      <c r="P77" s="142">
        <v>0</v>
      </c>
      <c r="Q77" s="145">
        <f>$N$77+$O$77+$P$77</f>
        <v>0</v>
      </c>
      <c r="R77" s="145">
        <f>$Q$77+$H$77</f>
        <v>0</v>
      </c>
      <c r="S77" s="144">
        <f>IFERROR(($R$77/('Table I'!$R$12)*100),0)</f>
        <v>0</v>
      </c>
      <c r="T77" s="258">
        <v>0</v>
      </c>
      <c r="U77" s="162">
        <f t="shared" si="2"/>
        <v>0</v>
      </c>
      <c r="V77" s="165"/>
      <c r="W77" s="164"/>
      <c r="X77" s="163"/>
      <c r="Y77" s="164"/>
      <c r="Z77" s="163"/>
      <c r="AA77" s="164"/>
      <c r="AB77" s="163"/>
      <c r="AC77" s="166"/>
      <c r="AD77" s="216">
        <v>0</v>
      </c>
      <c r="AE77" s="142">
        <v>0</v>
      </c>
      <c r="AF77" s="142">
        <v>0</v>
      </c>
      <c r="AG77" s="142">
        <v>0</v>
      </c>
    </row>
    <row r="78" spans="1:33" s="220" customFormat="1" ht="15.75" customHeight="1" x14ac:dyDescent="0.25">
      <c r="A78" s="142"/>
      <c r="B78" s="141" t="s">
        <v>236</v>
      </c>
      <c r="C78" s="140" t="s">
        <v>5</v>
      </c>
      <c r="D78" s="213">
        <v>0</v>
      </c>
      <c r="E78" s="223">
        <v>0</v>
      </c>
      <c r="F78" s="215">
        <v>0</v>
      </c>
      <c r="G78" s="215">
        <v>0</v>
      </c>
      <c r="H78" s="215">
        <f>$E$78+$F$78+$G$78</f>
        <v>0</v>
      </c>
      <c r="I78" s="218">
        <f>IFERROR($H$78/'Table I'!$E$12*100,0)</f>
        <v>0</v>
      </c>
      <c r="J78" s="215">
        <f>$H$78</f>
        <v>0</v>
      </c>
      <c r="K78" s="215">
        <v>0</v>
      </c>
      <c r="L78" s="142">
        <f>$J$78+$K$78</f>
        <v>0</v>
      </c>
      <c r="M78" s="218">
        <f>IFERROR($L$78/'Table I'!$E$12*100,0)</f>
        <v>0</v>
      </c>
      <c r="N78" s="215">
        <v>0</v>
      </c>
      <c r="O78" s="215">
        <v>0</v>
      </c>
      <c r="P78" s="215">
        <v>0</v>
      </c>
      <c r="Q78" s="215">
        <f>$P$78+$O$78+$N$78</f>
        <v>0</v>
      </c>
      <c r="R78" s="215">
        <f>$Q$78+$H$78</f>
        <v>0</v>
      </c>
      <c r="S78" s="218">
        <f>IFERROR((R78/'Table I'!$R$12*100),0)</f>
        <v>0</v>
      </c>
      <c r="T78" s="223">
        <v>0</v>
      </c>
      <c r="U78" s="219">
        <f>IFERROR(T78/E78*100,0)</f>
        <v>0</v>
      </c>
      <c r="V78" s="150"/>
      <c r="W78" s="255"/>
      <c r="X78" s="272"/>
      <c r="Y78" s="255"/>
      <c r="Z78" s="272"/>
      <c r="AA78" s="255"/>
      <c r="AB78" s="272"/>
      <c r="AC78" s="151"/>
      <c r="AD78" s="216">
        <v>0</v>
      </c>
      <c r="AE78" s="142">
        <v>0</v>
      </c>
      <c r="AF78" s="142">
        <v>0</v>
      </c>
      <c r="AG78" s="142">
        <v>0</v>
      </c>
    </row>
    <row r="79" spans="1:33" s="220" customFormat="1" ht="15.75" customHeight="1" x14ac:dyDescent="0.25">
      <c r="A79" s="142"/>
      <c r="B79" s="141" t="s">
        <v>237</v>
      </c>
      <c r="C79" s="140" t="s">
        <v>5</v>
      </c>
      <c r="D79" s="213">
        <v>0</v>
      </c>
      <c r="E79" s="223">
        <v>0</v>
      </c>
      <c r="F79" s="215">
        <v>0</v>
      </c>
      <c r="G79" s="215">
        <v>0</v>
      </c>
      <c r="H79" s="215">
        <f>$E$79+$F$79+$G$79</f>
        <v>0</v>
      </c>
      <c r="I79" s="218">
        <f>IFERROR($H$79/'Table I'!$E$12*100,0)</f>
        <v>0</v>
      </c>
      <c r="J79" s="215">
        <f>$H$79</f>
        <v>0</v>
      </c>
      <c r="K79" s="215">
        <v>0</v>
      </c>
      <c r="L79" s="142">
        <f>$J$79+$K$79</f>
        <v>0</v>
      </c>
      <c r="M79" s="218">
        <f>IFERROR($L$79/'Table I'!$E$12*100,0)</f>
        <v>0</v>
      </c>
      <c r="N79" s="215">
        <v>0</v>
      </c>
      <c r="O79" s="215">
        <v>0</v>
      </c>
      <c r="P79" s="215">
        <v>0</v>
      </c>
      <c r="Q79" s="215">
        <f>$P$79+$O$79+$N$79</f>
        <v>0</v>
      </c>
      <c r="R79" s="215">
        <f>$Q$79+$H$79</f>
        <v>0</v>
      </c>
      <c r="S79" s="218">
        <f>IFERROR((R79/'Table I'!$R$12*100),0)</f>
        <v>0</v>
      </c>
      <c r="T79" s="223">
        <v>0</v>
      </c>
      <c r="U79" s="219">
        <f t="shared" ref="U79:U80" si="4">IFERROR(T79/E79*100,0)</f>
        <v>0</v>
      </c>
      <c r="V79" s="150"/>
      <c r="W79" s="255"/>
      <c r="X79" s="272"/>
      <c r="Y79" s="255"/>
      <c r="Z79" s="272"/>
      <c r="AA79" s="255"/>
      <c r="AB79" s="272"/>
      <c r="AC79" s="151"/>
      <c r="AD79" s="216">
        <v>0</v>
      </c>
      <c r="AE79" s="142">
        <v>0</v>
      </c>
      <c r="AF79" s="142">
        <v>0</v>
      </c>
      <c r="AG79" s="142">
        <v>0</v>
      </c>
    </row>
    <row r="80" spans="1:33" s="220" customFormat="1" ht="15.75" customHeight="1" x14ac:dyDescent="0.25">
      <c r="A80" s="142"/>
      <c r="B80" s="141" t="s">
        <v>238</v>
      </c>
      <c r="C80" s="140" t="s">
        <v>5</v>
      </c>
      <c r="D80" s="213">
        <v>0</v>
      </c>
      <c r="E80" s="223">
        <v>0</v>
      </c>
      <c r="F80" s="215">
        <v>0</v>
      </c>
      <c r="G80" s="215">
        <v>0</v>
      </c>
      <c r="H80" s="215">
        <f>$E$80+$F$80+$G$80</f>
        <v>0</v>
      </c>
      <c r="I80" s="218">
        <f>IFERROR($H$80/'Table I'!$E$12*100,0)</f>
        <v>0</v>
      </c>
      <c r="J80" s="215">
        <f>$H$80</f>
        <v>0</v>
      </c>
      <c r="K80" s="215">
        <v>0</v>
      </c>
      <c r="L80" s="142">
        <f>$J$80+$K$80</f>
        <v>0</v>
      </c>
      <c r="M80" s="218">
        <f>IFERROR($L$80/'Table I'!$E$12*100,0)</f>
        <v>0</v>
      </c>
      <c r="N80" s="215">
        <v>0</v>
      </c>
      <c r="O80" s="215">
        <v>0</v>
      </c>
      <c r="P80" s="215">
        <v>0</v>
      </c>
      <c r="Q80" s="215">
        <f>$P$80+$O$80+$N$80</f>
        <v>0</v>
      </c>
      <c r="R80" s="215">
        <f>$Q$80+$H$80</f>
        <v>0</v>
      </c>
      <c r="S80" s="218">
        <f>IFERROR((R80/'Table I'!$R$12*100),0)</f>
        <v>0</v>
      </c>
      <c r="T80" s="223">
        <v>0</v>
      </c>
      <c r="U80" s="219">
        <f t="shared" si="4"/>
        <v>0</v>
      </c>
      <c r="V80" s="150"/>
      <c r="W80" s="255"/>
      <c r="X80" s="272"/>
      <c r="Y80" s="255"/>
      <c r="Z80" s="272"/>
      <c r="AA80" s="255"/>
      <c r="AB80" s="272"/>
      <c r="AC80" s="151"/>
      <c r="AD80" s="216">
        <v>0</v>
      </c>
      <c r="AE80" s="142">
        <v>0</v>
      </c>
      <c r="AF80" s="142">
        <v>0</v>
      </c>
      <c r="AG80" s="142">
        <v>0</v>
      </c>
    </row>
    <row r="81" spans="1:33" s="220" customFormat="1" ht="15.75" customHeight="1" x14ac:dyDescent="0.25">
      <c r="A81" s="142"/>
      <c r="B81" s="141" t="s">
        <v>239</v>
      </c>
      <c r="C81" s="140" t="s">
        <v>5</v>
      </c>
      <c r="D81" s="213">
        <v>0</v>
      </c>
      <c r="E81" s="223">
        <v>0</v>
      </c>
      <c r="F81" s="215">
        <v>0</v>
      </c>
      <c r="G81" s="215">
        <v>0</v>
      </c>
      <c r="H81" s="215">
        <f>$E$81+$F$81+$G$81</f>
        <v>0</v>
      </c>
      <c r="I81" s="218">
        <f>IFERROR($H$81/'Table I'!$E$12*100,0)</f>
        <v>0</v>
      </c>
      <c r="J81" s="215">
        <f>$H$81</f>
        <v>0</v>
      </c>
      <c r="K81" s="215">
        <v>0</v>
      </c>
      <c r="L81" s="142">
        <f>$J$81+$K$81</f>
        <v>0</v>
      </c>
      <c r="M81" s="218">
        <f>IFERROR($L$81/'Table I'!$E$12*100,0)</f>
        <v>0</v>
      </c>
      <c r="N81" s="215">
        <v>0</v>
      </c>
      <c r="O81" s="215">
        <v>0</v>
      </c>
      <c r="P81" s="215">
        <v>0</v>
      </c>
      <c r="Q81" s="215">
        <f>$P$81+$O$81+$N$81</f>
        <v>0</v>
      </c>
      <c r="R81" s="215">
        <f>$Q$81+$H$81</f>
        <v>0</v>
      </c>
      <c r="S81" s="218">
        <f>IFERROR((R81/'Table I'!$R$12*100),0)</f>
        <v>0</v>
      </c>
      <c r="T81" s="223">
        <v>0</v>
      </c>
      <c r="U81" s="219">
        <f>IFERROR(T81/E81*100,0)</f>
        <v>0</v>
      </c>
      <c r="V81" s="150"/>
      <c r="W81" s="255"/>
      <c r="X81" s="272"/>
      <c r="Y81" s="255"/>
      <c r="Z81" s="272"/>
      <c r="AA81" s="255"/>
      <c r="AB81" s="272"/>
      <c r="AC81" s="151"/>
      <c r="AD81" s="216">
        <v>0</v>
      </c>
      <c r="AE81" s="142">
        <v>0</v>
      </c>
      <c r="AF81" s="142">
        <v>0</v>
      </c>
      <c r="AG81" s="142">
        <v>0</v>
      </c>
    </row>
    <row r="82" spans="1:33" s="220" customFormat="1" ht="15.75" customHeight="1" x14ac:dyDescent="0.25">
      <c r="A82" s="142"/>
      <c r="B82" s="141" t="s">
        <v>240</v>
      </c>
      <c r="C82" s="140" t="s">
        <v>5</v>
      </c>
      <c r="D82" s="213">
        <v>0</v>
      </c>
      <c r="E82" s="223">
        <v>0</v>
      </c>
      <c r="F82" s="215">
        <v>0</v>
      </c>
      <c r="G82" s="215">
        <v>0</v>
      </c>
      <c r="H82" s="215">
        <f>$E$82+$F$82+$G$82</f>
        <v>0</v>
      </c>
      <c r="I82" s="218">
        <f>IFERROR($H$82/'Table I'!$E$12*100,0)</f>
        <v>0</v>
      </c>
      <c r="J82" s="215">
        <f>$H$82</f>
        <v>0</v>
      </c>
      <c r="K82" s="215">
        <v>0</v>
      </c>
      <c r="L82" s="142">
        <f>$J$82+$K$82</f>
        <v>0</v>
      </c>
      <c r="M82" s="218">
        <f>IFERROR($L$82/'Table I'!$E$12*100,0)</f>
        <v>0</v>
      </c>
      <c r="N82" s="215">
        <v>0</v>
      </c>
      <c r="O82" s="215">
        <v>0</v>
      </c>
      <c r="P82" s="215">
        <v>0</v>
      </c>
      <c r="Q82" s="215">
        <f>$P$82+$O$82+$N$82</f>
        <v>0</v>
      </c>
      <c r="R82" s="215">
        <f>$Q$82+$H$82</f>
        <v>0</v>
      </c>
      <c r="S82" s="218">
        <f>IFERROR((R82/'Table I'!$R$12*100),0)</f>
        <v>0</v>
      </c>
      <c r="T82" s="223">
        <v>0</v>
      </c>
      <c r="U82" s="219">
        <f t="shared" ref="U82" si="5">IFERROR(T82/E82*100,0)</f>
        <v>0</v>
      </c>
      <c r="V82" s="150"/>
      <c r="W82" s="255"/>
      <c r="X82" s="272"/>
      <c r="Y82" s="255"/>
      <c r="Z82" s="272"/>
      <c r="AA82" s="255"/>
      <c r="AB82" s="272"/>
      <c r="AC82" s="151"/>
      <c r="AD82" s="216">
        <v>0</v>
      </c>
      <c r="AE82" s="142">
        <v>0</v>
      </c>
      <c r="AF82" s="142">
        <v>0</v>
      </c>
      <c r="AG82" s="142">
        <v>0</v>
      </c>
    </row>
    <row r="83" spans="1:33" s="220" customFormat="1" ht="15.75" customHeight="1" x14ac:dyDescent="0.25">
      <c r="A83" s="142"/>
      <c r="B83" s="141" t="s">
        <v>241</v>
      </c>
      <c r="C83" s="140" t="s">
        <v>5</v>
      </c>
      <c r="D83" s="213">
        <v>0</v>
      </c>
      <c r="E83" s="223">
        <v>0</v>
      </c>
      <c r="F83" s="215">
        <v>0</v>
      </c>
      <c r="G83" s="215">
        <v>0</v>
      </c>
      <c r="H83" s="215">
        <f>$E$83+$F$83+$G$83</f>
        <v>0</v>
      </c>
      <c r="I83" s="218">
        <f>IFERROR($H$83/'Table I'!$E$12*100,0)</f>
        <v>0</v>
      </c>
      <c r="J83" s="215">
        <f>$H$83</f>
        <v>0</v>
      </c>
      <c r="K83" s="215">
        <v>0</v>
      </c>
      <c r="L83" s="142">
        <f>$J$83+$K$83</f>
        <v>0</v>
      </c>
      <c r="M83" s="218">
        <f>IFERROR($L$83/'Table I'!$E$12*100,0)</f>
        <v>0</v>
      </c>
      <c r="N83" s="215">
        <v>0</v>
      </c>
      <c r="O83" s="215">
        <v>0</v>
      </c>
      <c r="P83" s="215">
        <v>0</v>
      </c>
      <c r="Q83" s="215">
        <f>$P$83+$O$83+$N$83</f>
        <v>0</v>
      </c>
      <c r="R83" s="215">
        <f>$Q$83+$H$83</f>
        <v>0</v>
      </c>
      <c r="S83" s="218">
        <f>IFERROR((R83/'Table I'!$R$12*100),0)</f>
        <v>0</v>
      </c>
      <c r="T83" s="223">
        <v>0</v>
      </c>
      <c r="U83" s="219">
        <f>IFERROR(T83/E83*100,0)</f>
        <v>0</v>
      </c>
      <c r="V83" s="150"/>
      <c r="W83" s="255"/>
      <c r="X83" s="272"/>
      <c r="Y83" s="255"/>
      <c r="Z83" s="272"/>
      <c r="AA83" s="255"/>
      <c r="AB83" s="272"/>
      <c r="AC83" s="151"/>
      <c r="AD83" s="216">
        <v>0</v>
      </c>
      <c r="AE83" s="142">
        <v>0</v>
      </c>
      <c r="AF83" s="142">
        <v>0</v>
      </c>
      <c r="AG83" s="142">
        <v>0</v>
      </c>
    </row>
    <row r="84" spans="1:33" s="220" customFormat="1" ht="15.75" customHeight="1" x14ac:dyDescent="0.25">
      <c r="A84" s="142"/>
      <c r="B84" s="141" t="s">
        <v>242</v>
      </c>
      <c r="C84" s="140" t="s">
        <v>5</v>
      </c>
      <c r="D84" s="213">
        <v>0</v>
      </c>
      <c r="E84" s="223">
        <v>0</v>
      </c>
      <c r="F84" s="215">
        <v>0</v>
      </c>
      <c r="G84" s="215">
        <v>0</v>
      </c>
      <c r="H84" s="215">
        <f>$E$84+$F$84+$G$84</f>
        <v>0</v>
      </c>
      <c r="I84" s="218">
        <f>IFERROR($H$84/'Table I'!$E$12*100,0)</f>
        <v>0</v>
      </c>
      <c r="J84" s="215">
        <f>$H$84</f>
        <v>0</v>
      </c>
      <c r="K84" s="215">
        <v>0</v>
      </c>
      <c r="L84" s="142">
        <f>$J$84+$K$84</f>
        <v>0</v>
      </c>
      <c r="M84" s="218">
        <f>IFERROR($L$84/'Table I'!$E$12*100,0)</f>
        <v>0</v>
      </c>
      <c r="N84" s="215">
        <v>0</v>
      </c>
      <c r="O84" s="215">
        <v>0</v>
      </c>
      <c r="P84" s="215">
        <v>0</v>
      </c>
      <c r="Q84" s="215">
        <f>$P$84+$O$84+$N$84</f>
        <v>0</v>
      </c>
      <c r="R84" s="215">
        <f>$Q$84+$H$84</f>
        <v>0</v>
      </c>
      <c r="S84" s="218">
        <f>IFERROR((R84/'Table I'!$R$12*100),0)</f>
        <v>0</v>
      </c>
      <c r="T84" s="223">
        <v>0</v>
      </c>
      <c r="U84" s="219">
        <f t="shared" ref="U84:U92" si="6">IFERROR(T84/E84*100,0)</f>
        <v>0</v>
      </c>
      <c r="V84" s="150"/>
      <c r="W84" s="255"/>
      <c r="X84" s="272"/>
      <c r="Y84" s="255"/>
      <c r="Z84" s="272"/>
      <c r="AA84" s="255"/>
      <c r="AB84" s="272"/>
      <c r="AC84" s="151"/>
      <c r="AD84" s="216">
        <v>0</v>
      </c>
      <c r="AE84" s="142">
        <v>0</v>
      </c>
      <c r="AF84" s="142">
        <v>0</v>
      </c>
      <c r="AG84" s="142">
        <v>0</v>
      </c>
    </row>
    <row r="85" spans="1:33" s="220" customFormat="1" ht="15.75" customHeight="1" x14ac:dyDescent="0.25">
      <c r="A85" s="142"/>
      <c r="B85" s="141" t="s">
        <v>243</v>
      </c>
      <c r="C85" s="140" t="s">
        <v>5</v>
      </c>
      <c r="D85" s="213">
        <v>0</v>
      </c>
      <c r="E85" s="223">
        <v>0</v>
      </c>
      <c r="F85" s="215">
        <v>0</v>
      </c>
      <c r="G85" s="215">
        <v>0</v>
      </c>
      <c r="H85" s="215">
        <f>$E$85+$F$85+$G$85</f>
        <v>0</v>
      </c>
      <c r="I85" s="218">
        <f>IFERROR($H$85/'Table I'!$E$12*100,0)</f>
        <v>0</v>
      </c>
      <c r="J85" s="215">
        <f>$H$85</f>
        <v>0</v>
      </c>
      <c r="K85" s="215">
        <v>0</v>
      </c>
      <c r="L85" s="142">
        <f>$J$85+$K$85</f>
        <v>0</v>
      </c>
      <c r="M85" s="218">
        <f>IFERROR($L$85/'Table I'!$E$12*100,0)</f>
        <v>0</v>
      </c>
      <c r="N85" s="215">
        <v>0</v>
      </c>
      <c r="O85" s="215">
        <v>0</v>
      </c>
      <c r="P85" s="215">
        <v>0</v>
      </c>
      <c r="Q85" s="215">
        <f>$P$85+$O$85+$N$85</f>
        <v>0</v>
      </c>
      <c r="R85" s="215">
        <f>$Q$85+$H$85</f>
        <v>0</v>
      </c>
      <c r="S85" s="218">
        <f>IFERROR((R85/'Table I'!$R$12*100),0)</f>
        <v>0</v>
      </c>
      <c r="T85" s="223">
        <v>0</v>
      </c>
      <c r="U85" s="219">
        <f t="shared" si="6"/>
        <v>0</v>
      </c>
      <c r="V85" s="150"/>
      <c r="W85" s="255"/>
      <c r="X85" s="272"/>
      <c r="Y85" s="255"/>
      <c r="Z85" s="272"/>
      <c r="AA85" s="255"/>
      <c r="AB85" s="272"/>
      <c r="AC85" s="151"/>
      <c r="AD85" s="216">
        <v>0</v>
      </c>
      <c r="AE85" s="142">
        <v>0</v>
      </c>
      <c r="AF85" s="142">
        <v>0</v>
      </c>
      <c r="AG85" s="142">
        <v>0</v>
      </c>
    </row>
    <row r="86" spans="1:33" s="220" customFormat="1" ht="15.75" customHeight="1" x14ac:dyDescent="0.25">
      <c r="A86" s="142"/>
      <c r="B86" s="141" t="s">
        <v>244</v>
      </c>
      <c r="C86" s="140" t="s">
        <v>5</v>
      </c>
      <c r="D86" s="213">
        <v>0</v>
      </c>
      <c r="E86" s="223">
        <v>0</v>
      </c>
      <c r="F86" s="215">
        <v>0</v>
      </c>
      <c r="G86" s="215">
        <v>0</v>
      </c>
      <c r="H86" s="215">
        <f>$E$86+$F$86+$G$86</f>
        <v>0</v>
      </c>
      <c r="I86" s="218">
        <f>IFERROR($H$86/'Table I'!$E$12*100,0)</f>
        <v>0</v>
      </c>
      <c r="J86" s="215">
        <f>$H$86</f>
        <v>0</v>
      </c>
      <c r="K86" s="215">
        <v>0</v>
      </c>
      <c r="L86" s="142">
        <f>$J$86+$K$86</f>
        <v>0</v>
      </c>
      <c r="M86" s="218">
        <f>IFERROR($L$86/'Table I'!$E$12*100,0)</f>
        <v>0</v>
      </c>
      <c r="N86" s="215">
        <v>0</v>
      </c>
      <c r="O86" s="215">
        <v>0</v>
      </c>
      <c r="P86" s="215">
        <v>0</v>
      </c>
      <c r="Q86" s="215">
        <f>$P$86+$O$86+$N$86</f>
        <v>0</v>
      </c>
      <c r="R86" s="215">
        <f>$Q$86+$H$86</f>
        <v>0</v>
      </c>
      <c r="S86" s="218">
        <f>IFERROR((R86/'Table I'!$R$12*100),0)</f>
        <v>0</v>
      </c>
      <c r="T86" s="223">
        <v>0</v>
      </c>
      <c r="U86" s="219">
        <f t="shared" si="6"/>
        <v>0</v>
      </c>
      <c r="V86" s="150"/>
      <c r="W86" s="255"/>
      <c r="X86" s="272"/>
      <c r="Y86" s="255"/>
      <c r="Z86" s="272"/>
      <c r="AA86" s="255"/>
      <c r="AB86" s="272"/>
      <c r="AC86" s="151"/>
      <c r="AD86" s="216">
        <v>0</v>
      </c>
      <c r="AE86" s="142">
        <v>0</v>
      </c>
      <c r="AF86" s="142">
        <v>0</v>
      </c>
      <c r="AG86" s="142">
        <v>0</v>
      </c>
    </row>
    <row r="87" spans="1:33" s="220" customFormat="1" ht="15.75" customHeight="1" x14ac:dyDescent="0.25">
      <c r="A87" s="142"/>
      <c r="B87" s="141" t="s">
        <v>245</v>
      </c>
      <c r="C87" s="140" t="s">
        <v>5</v>
      </c>
      <c r="D87" s="213">
        <v>0</v>
      </c>
      <c r="E87" s="223">
        <v>0</v>
      </c>
      <c r="F87" s="215">
        <v>0</v>
      </c>
      <c r="G87" s="215">
        <v>0</v>
      </c>
      <c r="H87" s="215">
        <f>$E$87+$F$87+$G$87</f>
        <v>0</v>
      </c>
      <c r="I87" s="218">
        <f>IFERROR($H$87/'Table I'!$E$12*100,0)</f>
        <v>0</v>
      </c>
      <c r="J87" s="215">
        <f>$H$87</f>
        <v>0</v>
      </c>
      <c r="K87" s="215">
        <v>0</v>
      </c>
      <c r="L87" s="142">
        <f>$J$87+$K$87</f>
        <v>0</v>
      </c>
      <c r="M87" s="218">
        <f>IFERROR($L$87/'Table I'!$E$12*100,0)</f>
        <v>0</v>
      </c>
      <c r="N87" s="215">
        <v>0</v>
      </c>
      <c r="O87" s="215">
        <v>0</v>
      </c>
      <c r="P87" s="215">
        <v>0</v>
      </c>
      <c r="Q87" s="215">
        <f>$P$87+$O$87+$N$87</f>
        <v>0</v>
      </c>
      <c r="R87" s="215">
        <f>$Q$87+$H$87</f>
        <v>0</v>
      </c>
      <c r="S87" s="218">
        <f>IFERROR((R87/'Table I'!$R$12*100),0)</f>
        <v>0</v>
      </c>
      <c r="T87" s="223">
        <v>0</v>
      </c>
      <c r="U87" s="219">
        <f t="shared" si="6"/>
        <v>0</v>
      </c>
      <c r="V87" s="150"/>
      <c r="W87" s="255"/>
      <c r="X87" s="272"/>
      <c r="Y87" s="255"/>
      <c r="Z87" s="272"/>
      <c r="AA87" s="255"/>
      <c r="AB87" s="272"/>
      <c r="AC87" s="151"/>
      <c r="AD87" s="216">
        <v>0</v>
      </c>
      <c r="AE87" s="142">
        <v>0</v>
      </c>
      <c r="AF87" s="142">
        <v>0</v>
      </c>
      <c r="AG87" s="142">
        <v>0</v>
      </c>
    </row>
    <row r="88" spans="1:33" s="220" customFormat="1" ht="15.75" customHeight="1" x14ac:dyDescent="0.25">
      <c r="A88" s="142"/>
      <c r="B88" s="141" t="s">
        <v>246</v>
      </c>
      <c r="C88" s="140" t="s">
        <v>5</v>
      </c>
      <c r="D88" s="213">
        <v>0</v>
      </c>
      <c r="E88" s="223">
        <v>0</v>
      </c>
      <c r="F88" s="215">
        <v>0</v>
      </c>
      <c r="G88" s="215">
        <v>0</v>
      </c>
      <c r="H88" s="215">
        <f>$E$88+$F$88+$G$88</f>
        <v>0</v>
      </c>
      <c r="I88" s="218">
        <f>IFERROR($H$88/'Table I'!$E$12*100,0)</f>
        <v>0</v>
      </c>
      <c r="J88" s="215">
        <f>$H$88</f>
        <v>0</v>
      </c>
      <c r="K88" s="215">
        <v>0</v>
      </c>
      <c r="L88" s="142">
        <f>$J$88+$K$88</f>
        <v>0</v>
      </c>
      <c r="M88" s="218">
        <f>IFERROR($L$88/'Table I'!$E$12*100,0)</f>
        <v>0</v>
      </c>
      <c r="N88" s="215">
        <v>0</v>
      </c>
      <c r="O88" s="215">
        <v>0</v>
      </c>
      <c r="P88" s="215">
        <v>0</v>
      </c>
      <c r="Q88" s="215">
        <f>$P$88+$O$88+$N$88</f>
        <v>0</v>
      </c>
      <c r="R88" s="215">
        <f>$Q$88+$H$88</f>
        <v>0</v>
      </c>
      <c r="S88" s="218">
        <f>IFERROR((R88/'Table I'!$R$12*100),0)</f>
        <v>0</v>
      </c>
      <c r="T88" s="223">
        <v>0</v>
      </c>
      <c r="U88" s="219">
        <f t="shared" si="6"/>
        <v>0</v>
      </c>
      <c r="V88" s="150"/>
      <c r="W88" s="255"/>
      <c r="X88" s="272"/>
      <c r="Y88" s="255"/>
      <c r="Z88" s="272"/>
      <c r="AA88" s="255"/>
      <c r="AB88" s="272"/>
      <c r="AC88" s="151"/>
      <c r="AD88" s="216">
        <v>0</v>
      </c>
      <c r="AE88" s="142">
        <v>0</v>
      </c>
      <c r="AF88" s="142">
        <v>0</v>
      </c>
      <c r="AG88" s="142">
        <v>0</v>
      </c>
    </row>
    <row r="89" spans="1:33" s="220" customFormat="1" ht="15.75" customHeight="1" x14ac:dyDescent="0.25">
      <c r="A89" s="142"/>
      <c r="B89" s="141" t="s">
        <v>247</v>
      </c>
      <c r="C89" s="140" t="s">
        <v>5</v>
      </c>
      <c r="D89" s="213">
        <v>0</v>
      </c>
      <c r="E89" s="223">
        <v>0</v>
      </c>
      <c r="F89" s="215">
        <v>0</v>
      </c>
      <c r="G89" s="215">
        <v>0</v>
      </c>
      <c r="H89" s="215">
        <f>$E$89+$F$89+$G$89</f>
        <v>0</v>
      </c>
      <c r="I89" s="218">
        <f>IFERROR($H$89/'Table I'!$E$12*100,0)</f>
        <v>0</v>
      </c>
      <c r="J89" s="215">
        <f>$H$89</f>
        <v>0</v>
      </c>
      <c r="K89" s="215">
        <v>0</v>
      </c>
      <c r="L89" s="142">
        <f>$J$89+$K$89</f>
        <v>0</v>
      </c>
      <c r="M89" s="218">
        <f>IFERROR($L$89/'Table I'!$E$12*100,0)</f>
        <v>0</v>
      </c>
      <c r="N89" s="215">
        <v>0</v>
      </c>
      <c r="O89" s="215">
        <v>0</v>
      </c>
      <c r="P89" s="215">
        <v>0</v>
      </c>
      <c r="Q89" s="215">
        <f>$P$89+$O$89+$N$89</f>
        <v>0</v>
      </c>
      <c r="R89" s="215">
        <f>$Q$89+$H$89</f>
        <v>0</v>
      </c>
      <c r="S89" s="218">
        <f>IFERROR((R89/'Table I'!$R$12*100),0)</f>
        <v>0</v>
      </c>
      <c r="T89" s="223">
        <v>0</v>
      </c>
      <c r="U89" s="219">
        <f t="shared" si="6"/>
        <v>0</v>
      </c>
      <c r="V89" s="150"/>
      <c r="W89" s="255"/>
      <c r="X89" s="272"/>
      <c r="Y89" s="255"/>
      <c r="Z89" s="272"/>
      <c r="AA89" s="255"/>
      <c r="AB89" s="272"/>
      <c r="AC89" s="151"/>
      <c r="AD89" s="216">
        <v>0</v>
      </c>
      <c r="AE89" s="142">
        <v>0</v>
      </c>
      <c r="AF89" s="142">
        <v>0</v>
      </c>
      <c r="AG89" s="142">
        <v>0</v>
      </c>
    </row>
    <row r="90" spans="1:33" s="220" customFormat="1" ht="15.75" customHeight="1" x14ac:dyDescent="0.25">
      <c r="A90" s="142"/>
      <c r="B90" s="141" t="s">
        <v>248</v>
      </c>
      <c r="C90" s="140" t="s">
        <v>5</v>
      </c>
      <c r="D90" s="213">
        <v>0</v>
      </c>
      <c r="E90" s="223">
        <v>0</v>
      </c>
      <c r="F90" s="215">
        <v>0</v>
      </c>
      <c r="G90" s="215">
        <v>0</v>
      </c>
      <c r="H90" s="215">
        <f>$E$90+$F$90+$G$90</f>
        <v>0</v>
      </c>
      <c r="I90" s="218">
        <f>IFERROR($H$90/'Table I'!$E$12*100,0)</f>
        <v>0</v>
      </c>
      <c r="J90" s="215">
        <f>$H$90</f>
        <v>0</v>
      </c>
      <c r="K90" s="215">
        <v>0</v>
      </c>
      <c r="L90" s="142">
        <f>$J$90+$K$90</f>
        <v>0</v>
      </c>
      <c r="M90" s="218">
        <f>IFERROR($L$90/'Table I'!$E$12*100,0)</f>
        <v>0</v>
      </c>
      <c r="N90" s="215">
        <v>0</v>
      </c>
      <c r="O90" s="215">
        <v>0</v>
      </c>
      <c r="P90" s="215">
        <v>0</v>
      </c>
      <c r="Q90" s="215">
        <f>$P$90+$O$90+$N$90</f>
        <v>0</v>
      </c>
      <c r="R90" s="215">
        <f>$Q$90+$H$90</f>
        <v>0</v>
      </c>
      <c r="S90" s="218">
        <f>IFERROR((R90/'Table I'!$R$12*100),0)</f>
        <v>0</v>
      </c>
      <c r="T90" s="223">
        <v>0</v>
      </c>
      <c r="U90" s="219">
        <f t="shared" si="6"/>
        <v>0</v>
      </c>
      <c r="V90" s="150"/>
      <c r="W90" s="255"/>
      <c r="X90" s="272"/>
      <c r="Y90" s="255"/>
      <c r="Z90" s="272"/>
      <c r="AA90" s="255"/>
      <c r="AB90" s="272"/>
      <c r="AC90" s="151"/>
      <c r="AD90" s="216">
        <v>0</v>
      </c>
      <c r="AE90" s="142">
        <v>0</v>
      </c>
      <c r="AF90" s="142">
        <v>0</v>
      </c>
      <c r="AG90" s="142">
        <v>0</v>
      </c>
    </row>
    <row r="91" spans="1:33" s="220" customFormat="1" ht="15.75" customHeight="1" x14ac:dyDescent="0.25">
      <c r="A91" s="142"/>
      <c r="B91" s="141" t="s">
        <v>249</v>
      </c>
      <c r="C91" s="140" t="s">
        <v>5</v>
      </c>
      <c r="D91" s="213">
        <v>0</v>
      </c>
      <c r="E91" s="223">
        <v>0</v>
      </c>
      <c r="F91" s="215">
        <v>0</v>
      </c>
      <c r="G91" s="215">
        <v>0</v>
      </c>
      <c r="H91" s="215">
        <f>$E$91+$F$91+$G$91</f>
        <v>0</v>
      </c>
      <c r="I91" s="218">
        <f>IFERROR($H$91/'Table I'!$E$12*100,0)</f>
        <v>0</v>
      </c>
      <c r="J91" s="215">
        <f>$H$91</f>
        <v>0</v>
      </c>
      <c r="K91" s="215">
        <v>0</v>
      </c>
      <c r="L91" s="142">
        <f>$J$91+$K$91</f>
        <v>0</v>
      </c>
      <c r="M91" s="218">
        <f>IFERROR($L$91/'Table I'!$E$12*100,0)</f>
        <v>0</v>
      </c>
      <c r="N91" s="215">
        <v>0</v>
      </c>
      <c r="O91" s="215">
        <v>0</v>
      </c>
      <c r="P91" s="215">
        <v>0</v>
      </c>
      <c r="Q91" s="215">
        <f>$P$91+$O$91+$N$91</f>
        <v>0</v>
      </c>
      <c r="R91" s="215">
        <f>$Q$91+$H$91</f>
        <v>0</v>
      </c>
      <c r="S91" s="218">
        <f>IFERROR((R91/'Table I'!$R$12*100),0)</f>
        <v>0</v>
      </c>
      <c r="T91" s="223">
        <v>0</v>
      </c>
      <c r="U91" s="219">
        <f t="shared" si="6"/>
        <v>0</v>
      </c>
      <c r="V91" s="150"/>
      <c r="W91" s="255"/>
      <c r="X91" s="272"/>
      <c r="Y91" s="255"/>
      <c r="Z91" s="272"/>
      <c r="AA91" s="255"/>
      <c r="AB91" s="272"/>
      <c r="AC91" s="151"/>
      <c r="AD91" s="216">
        <v>0</v>
      </c>
      <c r="AE91" s="142">
        <v>0</v>
      </c>
      <c r="AF91" s="142">
        <v>0</v>
      </c>
      <c r="AG91" s="142">
        <v>0</v>
      </c>
    </row>
    <row r="92" spans="1:33" s="220" customFormat="1" ht="15.75" customHeight="1" x14ac:dyDescent="0.25">
      <c r="A92" s="246"/>
      <c r="B92" s="232" t="s">
        <v>250</v>
      </c>
      <c r="C92" s="231" t="s">
        <v>5</v>
      </c>
      <c r="D92" s="233">
        <v>0</v>
      </c>
      <c r="E92" s="234">
        <v>0</v>
      </c>
      <c r="F92" s="235">
        <v>0</v>
      </c>
      <c r="G92" s="235">
        <v>0</v>
      </c>
      <c r="H92" s="235">
        <f>$E$92+$F$92+$G$92</f>
        <v>0</v>
      </c>
      <c r="I92" s="236">
        <f>IFERROR($H$92/'Table I'!$E$12*100,0)</f>
        <v>0</v>
      </c>
      <c r="J92" s="235">
        <f>$H$92</f>
        <v>0</v>
      </c>
      <c r="K92" s="235">
        <v>0</v>
      </c>
      <c r="L92" s="246">
        <f>$J$92+$K$92</f>
        <v>0</v>
      </c>
      <c r="M92" s="236">
        <f>IFERROR($L$92/'Table I'!$E$12*100,0)</f>
        <v>0</v>
      </c>
      <c r="N92" s="235">
        <v>0</v>
      </c>
      <c r="O92" s="235">
        <v>0</v>
      </c>
      <c r="P92" s="235">
        <v>0</v>
      </c>
      <c r="Q92" s="235">
        <f>$P$92+$O$92+$N$92</f>
        <v>0</v>
      </c>
      <c r="R92" s="235">
        <f>$Q$92+$H$92</f>
        <v>0</v>
      </c>
      <c r="S92" s="236">
        <f>IFERROR((R92/'Table I'!$R$12*100),0)</f>
        <v>0</v>
      </c>
      <c r="T92" s="234">
        <v>0</v>
      </c>
      <c r="U92" s="237">
        <f t="shared" si="6"/>
        <v>0</v>
      </c>
      <c r="V92" s="150"/>
      <c r="W92" s="255"/>
      <c r="X92" s="272"/>
      <c r="Y92" s="255"/>
      <c r="Z92" s="272"/>
      <c r="AA92" s="255"/>
      <c r="AB92" s="272"/>
      <c r="AC92" s="151"/>
      <c r="AD92" s="245">
        <v>0</v>
      </c>
      <c r="AE92" s="246">
        <v>0</v>
      </c>
      <c r="AF92" s="246">
        <v>0</v>
      </c>
      <c r="AG92" s="246">
        <v>0</v>
      </c>
    </row>
    <row r="93" spans="1:33" s="222" customFormat="1" ht="19.5" customHeight="1" x14ac:dyDescent="0.25">
      <c r="A93" s="270"/>
      <c r="B93" s="270" t="s">
        <v>104</v>
      </c>
      <c r="C93" s="262" t="s">
        <v>5</v>
      </c>
      <c r="D93" s="264">
        <f>$D$71+$D$70+$D$69+$D$68+$D$67+$D$66+$D$65+$D$64+$D$63+$D$62+$D$61+$D$60+$D$59</f>
        <v>0</v>
      </c>
      <c r="E93" s="265">
        <f>$E$71+$E$70+$E$69+$E$68+$E$67+$E$66+$E$65+$E$64+$E$63+$E$62+$E$61+$E$60+$E$59</f>
        <v>0</v>
      </c>
      <c r="F93" s="265">
        <f>$F$59+$F$60+$F$61+$F$62+$F$63+$F$64+$F$65+$F$66+$F$67+$F$68+$F$69+$F$70+$F$71</f>
        <v>0</v>
      </c>
      <c r="G93" s="265">
        <f>$G$59+$G$60+$G$61+$G$62+$G$63+$G$64+$G$65+$G$66+$G$67+$G$68+$G$69+$G$70+$G$71</f>
        <v>0</v>
      </c>
      <c r="H93" s="265">
        <f>$E$93+$F$93+$G$93</f>
        <v>0</v>
      </c>
      <c r="I93" s="266">
        <f>IFERROR($H$93/'Table I'!$E$12*100,0)</f>
        <v>0</v>
      </c>
      <c r="J93" s="265">
        <f>$H$93</f>
        <v>0</v>
      </c>
      <c r="K93" s="265">
        <f>$K$59+$K$60+$K$61+$K$62+$K$63+$K$64+$K$65+$K$66+$K$67+$K$68+$K$69+$K$70+$K$71</f>
        <v>0</v>
      </c>
      <c r="L93" s="265">
        <f>$J$93+$K$93</f>
        <v>0</v>
      </c>
      <c r="M93" s="266">
        <f>IFERROR($L$93/'Table I'!$E$12*100,0)</f>
        <v>0</v>
      </c>
      <c r="N93" s="265">
        <f>$N$59+$N$60+$N$61+$N$62+$N$63+$N$64+$N$65+$N$66+$N$67+$N$68+$N$69+$N$70+$N$71</f>
        <v>0</v>
      </c>
      <c r="O93" s="265">
        <f>$O$59+$O$60+$O$61+$O$62+$O$63+$O$64+$O$65+$O$66+$O$67+$O$68+$O$69+$O$70+$O$71</f>
        <v>0</v>
      </c>
      <c r="P93" s="265">
        <f>$P$59+$P$60+$P$61+$P$62+$P$63+$P$64+$P$65+$P$66+$P$67+$P$68+$P$69+$P$70+$P$71</f>
        <v>0</v>
      </c>
      <c r="Q93" s="268">
        <f>$N$93+$O$93+$P$93</f>
        <v>0</v>
      </c>
      <c r="R93" s="268">
        <f>$Q$93+$H$93</f>
        <v>0</v>
      </c>
      <c r="S93" s="266">
        <f>IFERROR(($R$93/('Table I'!$R$12)*100),0)</f>
        <v>0</v>
      </c>
      <c r="T93" s="265">
        <f>$T$71+$T$70+$T$69+$T$68+$T$67+$T$66+$T$65+$T$64+$T$63+$T$62+$T$61+$T$60+$T$59</f>
        <v>0</v>
      </c>
      <c r="U93" s="330">
        <f>IFERROR($T$93/$E$93*100,0)</f>
        <v>0</v>
      </c>
      <c r="V93" s="334"/>
      <c r="W93" s="255"/>
      <c r="X93" s="248"/>
      <c r="Y93" s="255"/>
      <c r="Z93" s="248"/>
      <c r="AA93" s="255"/>
      <c r="AB93" s="248"/>
      <c r="AC93" s="151"/>
      <c r="AD93" s="331">
        <f>$AD$71+$AD$70+$AD$69+$AD$68+$AD$67+$AD$66+$AD$65+$AD$64+$AD$63+$AD$62+$AD$61+$AD$60+$AD$59</f>
        <v>0</v>
      </c>
      <c r="AE93" s="271">
        <f>$AE$71+$AE$70+$AE$69+$AE$68+$AE$67+$AE$66+$AE$65+$AE$64+$AE$63+$AE$62+$AE$61+$AE$60+$AE$59</f>
        <v>0</v>
      </c>
      <c r="AF93" s="271">
        <f>$AF$71+$AF$70+$AF$69+$AF$68+$AF$67+$AF$66+$AF$65+$AF$64+$AF$63+$AF$62+$AF$61+$AF$60+$AF$59</f>
        <v>0</v>
      </c>
      <c r="AG93" s="271">
        <f>$AG$71+$AG$70+$AG$69+$AG$68+$AG$67+$AG$66+$AG$65+$AG$64+$AG$63+$AG$62+$AG$61+$AG$60+$AG$59</f>
        <v>0</v>
      </c>
    </row>
    <row r="94" spans="1:33" s="10" customFormat="1" ht="36.75" customHeight="1" x14ac:dyDescent="0.25">
      <c r="A94" s="390" t="s">
        <v>156</v>
      </c>
      <c r="B94" s="391"/>
      <c r="C94" s="249" t="s">
        <v>5</v>
      </c>
      <c r="D94" s="250">
        <f>$D$93+$D$57+$D$52+$D$29</f>
        <v>0</v>
      </c>
      <c r="E94" s="250">
        <f>$E$93+$E$57+$E$52+$E$29</f>
        <v>0</v>
      </c>
      <c r="F94" s="250">
        <v>0</v>
      </c>
      <c r="G94" s="250">
        <v>0</v>
      </c>
      <c r="H94" s="250">
        <f>$E$94+$F$94+$G$94</f>
        <v>0</v>
      </c>
      <c r="I94" s="251">
        <f>IFERROR($H$94/'Table I'!$E$12*100,0)</f>
        <v>0</v>
      </c>
      <c r="J94" s="252">
        <f>$H$94</f>
        <v>0</v>
      </c>
      <c r="K94" s="252">
        <v>0</v>
      </c>
      <c r="L94" s="252">
        <f>$K$94+$J$94</f>
        <v>0</v>
      </c>
      <c r="M94" s="251">
        <f>IFERROR($L$94/'Table I'!$E$12*100,0)</f>
        <v>0</v>
      </c>
      <c r="N94" s="252">
        <f>$N$29+$N$52+$N$57+$N$93</f>
        <v>0</v>
      </c>
      <c r="O94" s="252">
        <f>$O$29+$O$52+$O$57+$O$93</f>
        <v>0</v>
      </c>
      <c r="P94" s="252">
        <f>$P$29+$P$52+$P$57+$P$93</f>
        <v>0</v>
      </c>
      <c r="Q94" s="253">
        <f>$N$94+$O$94+$P$94</f>
        <v>0</v>
      </c>
      <c r="R94" s="253">
        <f>$Q$94+$H$94</f>
        <v>0</v>
      </c>
      <c r="S94" s="251">
        <f>IFERROR(($R$94/('Table I'!$R$12)*100),0)</f>
        <v>0</v>
      </c>
      <c r="T94" s="252">
        <f>$T$93+$T$57+$T$52+$T$29</f>
        <v>0</v>
      </c>
      <c r="U94" s="254">
        <f>IFERROR($T$94/$E$94*100,0)</f>
        <v>0</v>
      </c>
      <c r="V94" s="167"/>
      <c r="W94" s="168"/>
      <c r="X94" s="169"/>
      <c r="Y94" s="168"/>
      <c r="Z94" s="169"/>
      <c r="AA94" s="168"/>
      <c r="AB94" s="169"/>
      <c r="AC94" s="170"/>
      <c r="AD94" s="256">
        <f>$AD$93+$AD$57+$AD$52+$AD$29</f>
        <v>0</v>
      </c>
      <c r="AE94" s="257">
        <f>$AE$93+$AE$57+$AE$52+$AE$29</f>
        <v>0</v>
      </c>
      <c r="AF94" s="257">
        <f>$AF$93+$AF$57+$AF$52+$AF$29</f>
        <v>0</v>
      </c>
      <c r="AG94" s="257">
        <f>$AG$93+$AG$57+$AG$52+$AG$29</f>
        <v>0</v>
      </c>
    </row>
    <row r="95" spans="1:33" ht="13.5" customHeight="1" x14ac:dyDescent="0.25">
      <c r="B95" s="19"/>
      <c r="I95" s="19"/>
      <c r="U95" s="19"/>
    </row>
    <row r="96" spans="1:33" s="31" customFormat="1" x14ac:dyDescent="0.25">
      <c r="A96" s="382" t="s">
        <v>105</v>
      </c>
      <c r="B96" s="382"/>
      <c r="C96" s="382"/>
      <c r="D96" s="382"/>
      <c r="E96" s="382"/>
      <c r="F96" s="382"/>
      <c r="G96" s="382"/>
      <c r="H96" s="382"/>
      <c r="I96" s="382"/>
      <c r="J96" s="382"/>
      <c r="K96" s="382"/>
      <c r="L96" s="382"/>
      <c r="M96" s="382"/>
      <c r="N96" s="382"/>
      <c r="O96" s="382"/>
      <c r="P96" s="382"/>
      <c r="Q96" s="382"/>
      <c r="R96" s="382"/>
      <c r="S96" s="382"/>
      <c r="T96" s="382"/>
      <c r="U96" s="382"/>
      <c r="V96" s="382"/>
      <c r="W96" s="382"/>
      <c r="X96" s="382"/>
      <c r="Y96" s="382"/>
      <c r="Z96" s="382"/>
      <c r="AA96" s="382"/>
      <c r="AB96" s="382"/>
      <c r="AC96" s="382"/>
      <c r="AD96" s="382"/>
      <c r="AE96" s="382"/>
      <c r="AF96" s="382"/>
      <c r="AG96" s="382"/>
    </row>
    <row r="97" spans="1:33" s="31" customFormat="1" x14ac:dyDescent="0.25">
      <c r="A97" s="382" t="s">
        <v>106</v>
      </c>
      <c r="B97" s="382"/>
      <c r="C97" s="382"/>
      <c r="D97" s="382"/>
      <c r="E97" s="382"/>
      <c r="F97" s="382"/>
      <c r="G97" s="382"/>
      <c r="H97" s="382"/>
      <c r="I97" s="382"/>
      <c r="J97" s="382"/>
      <c r="K97" s="382"/>
      <c r="L97" s="382"/>
      <c r="M97" s="382"/>
      <c r="N97" s="382"/>
      <c r="O97" s="382"/>
      <c r="P97" s="382"/>
      <c r="Q97" s="382"/>
      <c r="R97" s="382"/>
      <c r="S97" s="382"/>
      <c r="T97" s="382"/>
      <c r="U97" s="382"/>
      <c r="V97" s="382"/>
      <c r="W97" s="382"/>
      <c r="X97" s="382"/>
      <c r="Y97" s="382"/>
      <c r="Z97" s="382"/>
      <c r="AA97" s="382"/>
      <c r="AB97" s="382"/>
      <c r="AC97" s="382"/>
      <c r="AD97" s="382"/>
      <c r="AE97" s="382"/>
      <c r="AF97" s="382"/>
      <c r="AG97" s="382"/>
    </row>
    <row r="98" spans="1:33" s="21" customFormat="1" x14ac:dyDescent="0.25">
      <c r="A98" s="21" t="s">
        <v>65</v>
      </c>
      <c r="B98" s="383"/>
      <c r="C98" s="383"/>
      <c r="D98" s="383"/>
      <c r="E98" s="383"/>
      <c r="F98" s="383"/>
      <c r="G98" s="383"/>
      <c r="H98" s="383"/>
      <c r="I98" s="383"/>
      <c r="J98" s="383"/>
      <c r="K98" s="383"/>
      <c r="L98" s="383"/>
      <c r="M98" s="383"/>
      <c r="N98" s="383"/>
      <c r="O98" s="383"/>
      <c r="P98" s="383"/>
      <c r="Q98" s="383"/>
      <c r="R98" s="383"/>
      <c r="S98" s="383"/>
      <c r="T98" s="383"/>
      <c r="U98" s="383"/>
      <c r="V98" s="383"/>
      <c r="W98" s="383"/>
      <c r="X98" s="383"/>
      <c r="Y98" s="383"/>
      <c r="Z98" s="383"/>
      <c r="AA98" s="383"/>
      <c r="AB98" s="383"/>
      <c r="AC98" s="383"/>
      <c r="AD98" s="383"/>
    </row>
    <row r="99" spans="1:33" s="21" customFormat="1" x14ac:dyDescent="0.25">
      <c r="A99" s="22" t="s">
        <v>113</v>
      </c>
      <c r="B99" s="380" t="s">
        <v>66</v>
      </c>
      <c r="C99" s="380"/>
      <c r="D99" s="380"/>
      <c r="E99" s="380"/>
      <c r="F99" s="380"/>
      <c r="G99" s="380"/>
      <c r="H99" s="380"/>
      <c r="I99" s="380"/>
      <c r="J99" s="380"/>
      <c r="K99" s="380"/>
      <c r="L99" s="380"/>
      <c r="M99" s="380"/>
      <c r="N99" s="380"/>
      <c r="O99" s="380"/>
      <c r="P99" s="380"/>
      <c r="Q99" s="380"/>
      <c r="R99" s="380"/>
      <c r="S99" s="380"/>
      <c r="T99" s="380"/>
      <c r="U99" s="380"/>
      <c r="V99" s="380"/>
      <c r="W99" s="380"/>
      <c r="X99" s="380"/>
      <c r="Y99" s="380"/>
      <c r="Z99" s="380"/>
      <c r="AA99" s="380"/>
      <c r="AB99" s="380"/>
      <c r="AC99" s="380"/>
      <c r="AD99" s="380"/>
      <c r="AE99" s="23"/>
      <c r="AF99" s="23"/>
      <c r="AG99" s="23"/>
    </row>
    <row r="100" spans="1:33" s="21" customFormat="1" x14ac:dyDescent="0.25">
      <c r="A100" s="22" t="s">
        <v>114</v>
      </c>
      <c r="B100" s="380" t="s">
        <v>107</v>
      </c>
      <c r="C100" s="380"/>
      <c r="D100" s="380"/>
      <c r="E100" s="380"/>
      <c r="F100" s="380"/>
      <c r="G100" s="380"/>
      <c r="H100" s="380"/>
      <c r="I100" s="380"/>
      <c r="J100" s="380"/>
      <c r="K100" s="380"/>
      <c r="L100" s="380"/>
      <c r="M100" s="380"/>
      <c r="N100" s="380"/>
      <c r="O100" s="380"/>
      <c r="P100" s="380"/>
      <c r="Q100" s="380"/>
      <c r="R100" s="380"/>
      <c r="S100" s="380"/>
      <c r="T100" s="380"/>
      <c r="U100" s="380"/>
      <c r="V100" s="380"/>
      <c r="W100" s="380"/>
      <c r="X100" s="380"/>
      <c r="Y100" s="380"/>
      <c r="Z100" s="380"/>
      <c r="AA100" s="380"/>
      <c r="AB100" s="380"/>
      <c r="AC100" s="380"/>
      <c r="AD100" s="380"/>
      <c r="AE100" s="23"/>
      <c r="AF100" s="23"/>
      <c r="AG100" s="23"/>
    </row>
    <row r="101" spans="1:33" s="21" customFormat="1" x14ac:dyDescent="0.25">
      <c r="A101" s="22" t="s">
        <v>115</v>
      </c>
      <c r="B101" s="380" t="s">
        <v>108</v>
      </c>
      <c r="C101" s="380"/>
      <c r="D101" s="380"/>
      <c r="E101" s="380"/>
      <c r="F101" s="380"/>
      <c r="G101" s="380"/>
      <c r="H101" s="380"/>
      <c r="I101" s="380"/>
      <c r="J101" s="380"/>
      <c r="K101" s="380"/>
      <c r="L101" s="380"/>
      <c r="M101" s="380"/>
      <c r="N101" s="380"/>
      <c r="O101" s="380"/>
      <c r="P101" s="380"/>
      <c r="Q101" s="380"/>
      <c r="R101" s="380"/>
      <c r="S101" s="380"/>
      <c r="T101" s="380"/>
      <c r="U101" s="380"/>
      <c r="V101" s="380"/>
      <c r="W101" s="380"/>
      <c r="X101" s="380"/>
      <c r="Y101" s="380"/>
      <c r="Z101" s="380"/>
      <c r="AA101" s="380"/>
      <c r="AB101" s="380"/>
      <c r="AC101" s="380"/>
      <c r="AD101" s="380"/>
      <c r="AE101" s="23"/>
      <c r="AF101" s="23"/>
      <c r="AG101" s="23"/>
    </row>
    <row r="102" spans="1:33" s="21" customFormat="1" x14ac:dyDescent="0.25">
      <c r="A102" s="22" t="s">
        <v>116</v>
      </c>
      <c r="B102" s="381" t="s">
        <v>109</v>
      </c>
      <c r="C102" s="381"/>
      <c r="D102" s="381"/>
      <c r="E102" s="381"/>
      <c r="F102" s="381"/>
      <c r="G102" s="381"/>
      <c r="H102" s="381"/>
      <c r="I102" s="381"/>
      <c r="J102" s="381"/>
      <c r="K102" s="381"/>
      <c r="L102" s="381"/>
      <c r="M102" s="381"/>
      <c r="N102" s="381"/>
      <c r="O102" s="381"/>
      <c r="P102" s="381"/>
      <c r="Q102" s="381"/>
      <c r="R102" s="381"/>
      <c r="S102" s="381"/>
      <c r="T102" s="381"/>
      <c r="U102" s="381"/>
      <c r="V102" s="381"/>
      <c r="W102" s="381"/>
      <c r="X102" s="381"/>
      <c r="Y102" s="381"/>
      <c r="Z102" s="381"/>
      <c r="AA102" s="381"/>
      <c r="AB102" s="381"/>
      <c r="AC102" s="381"/>
      <c r="AD102" s="381"/>
      <c r="AE102" s="381"/>
      <c r="AF102" s="381"/>
      <c r="AG102" s="381"/>
    </row>
    <row r="103" spans="1:33" s="21" customFormat="1" x14ac:dyDescent="0.25">
      <c r="A103" s="22" t="s">
        <v>117</v>
      </c>
      <c r="B103" s="380" t="s">
        <v>110</v>
      </c>
      <c r="C103" s="380"/>
      <c r="D103" s="380"/>
      <c r="E103" s="380"/>
      <c r="F103" s="380"/>
      <c r="G103" s="380"/>
      <c r="H103" s="380"/>
      <c r="I103" s="380"/>
      <c r="J103" s="380"/>
      <c r="K103" s="380"/>
      <c r="L103" s="380"/>
      <c r="M103" s="380"/>
      <c r="N103" s="380"/>
      <c r="O103" s="380"/>
      <c r="P103" s="380"/>
      <c r="Q103" s="380"/>
      <c r="R103" s="380"/>
      <c r="S103" s="380"/>
      <c r="T103" s="380"/>
      <c r="U103" s="380"/>
      <c r="V103" s="380"/>
      <c r="W103" s="380"/>
      <c r="X103" s="380"/>
      <c r="Y103" s="380"/>
      <c r="Z103" s="380"/>
      <c r="AA103" s="380"/>
      <c r="AB103" s="380"/>
      <c r="AC103" s="380"/>
      <c r="AD103" s="380"/>
      <c r="AE103" s="23"/>
      <c r="AF103" s="23"/>
      <c r="AG103" s="23"/>
    </row>
    <row r="104" spans="1:33" s="21" customFormat="1" x14ac:dyDescent="0.25">
      <c r="A104" s="24" t="s">
        <v>154</v>
      </c>
      <c r="B104" s="23" t="s">
        <v>155</v>
      </c>
      <c r="C104" s="23"/>
      <c r="D104" s="23"/>
      <c r="E104" s="23"/>
      <c r="F104" s="23"/>
      <c r="G104" s="23"/>
      <c r="H104" s="23"/>
      <c r="I104" s="23"/>
      <c r="J104" s="23"/>
      <c r="K104" s="23"/>
      <c r="L104" s="23"/>
      <c r="M104" s="23"/>
      <c r="N104" s="23"/>
      <c r="O104" s="23"/>
      <c r="P104" s="23"/>
      <c r="Q104" s="23"/>
      <c r="R104" s="23"/>
      <c r="S104" s="25"/>
      <c r="T104" s="23"/>
      <c r="U104" s="23"/>
      <c r="V104" s="23"/>
      <c r="W104" s="23"/>
      <c r="X104" s="23"/>
      <c r="Y104" s="23"/>
      <c r="Z104" s="23"/>
      <c r="AA104" s="23"/>
      <c r="AB104" s="23"/>
      <c r="AC104" s="23"/>
      <c r="AD104" s="23"/>
      <c r="AE104" s="23"/>
      <c r="AF104" s="23"/>
      <c r="AG104" s="23"/>
    </row>
    <row r="105" spans="1:33" s="21" customFormat="1" x14ac:dyDescent="0.25">
      <c r="A105" s="24" t="s">
        <v>152</v>
      </c>
      <c r="B105" s="23" t="s">
        <v>111</v>
      </c>
      <c r="C105" s="23"/>
      <c r="D105" s="23"/>
      <c r="E105" s="23"/>
      <c r="F105" s="23"/>
      <c r="G105" s="23"/>
      <c r="H105" s="23"/>
      <c r="I105" s="23"/>
      <c r="J105" s="23"/>
      <c r="K105" s="23"/>
      <c r="L105" s="23"/>
      <c r="M105" s="23"/>
      <c r="N105" s="23"/>
      <c r="O105" s="23"/>
      <c r="P105" s="23"/>
      <c r="Q105" s="23"/>
      <c r="R105" s="23"/>
      <c r="S105" s="25"/>
      <c r="T105" s="23"/>
      <c r="U105" s="23"/>
      <c r="V105" s="23"/>
      <c r="W105" s="23"/>
      <c r="X105" s="23"/>
      <c r="Y105" s="23"/>
      <c r="Z105" s="23"/>
      <c r="AA105" s="23"/>
      <c r="AB105" s="23"/>
      <c r="AC105" s="23"/>
      <c r="AD105" s="23"/>
      <c r="AE105" s="23"/>
      <c r="AF105" s="23"/>
      <c r="AG105" s="23"/>
    </row>
    <row r="106" spans="1:33" s="21" customFormat="1" x14ac:dyDescent="0.25">
      <c r="A106" s="24" t="s">
        <v>153</v>
      </c>
      <c r="B106" s="23" t="s">
        <v>112</v>
      </c>
      <c r="C106" s="23"/>
      <c r="D106" s="23"/>
      <c r="E106" s="23"/>
      <c r="F106" s="23"/>
      <c r="G106" s="23"/>
      <c r="H106" s="23"/>
      <c r="I106" s="23"/>
      <c r="J106" s="23"/>
      <c r="K106" s="23"/>
      <c r="L106" s="23"/>
      <c r="M106" s="23"/>
      <c r="N106" s="23"/>
      <c r="O106" s="23"/>
      <c r="P106" s="23"/>
      <c r="Q106" s="23"/>
      <c r="R106" s="23"/>
      <c r="S106" s="25"/>
      <c r="T106" s="23"/>
      <c r="U106" s="23"/>
      <c r="V106" s="23"/>
      <c r="W106" s="23"/>
      <c r="X106" s="23"/>
      <c r="Y106" s="23"/>
      <c r="Z106" s="23"/>
      <c r="AA106" s="23"/>
      <c r="AB106" s="23"/>
      <c r="AC106" s="23"/>
      <c r="AD106" s="23"/>
      <c r="AE106" s="23"/>
      <c r="AF106" s="23"/>
      <c r="AG106" s="23"/>
    </row>
  </sheetData>
  <mergeCells count="60">
    <mergeCell ref="A94:B94"/>
    <mergeCell ref="B53:AG53"/>
    <mergeCell ref="V6:W6"/>
    <mergeCell ref="W4:W5"/>
    <mergeCell ref="AE4:AG4"/>
    <mergeCell ref="AE5:AE6"/>
    <mergeCell ref="AF5:AF6"/>
    <mergeCell ref="AD3:AD5"/>
    <mergeCell ref="V4:V5"/>
    <mergeCell ref="AG5:AG6"/>
    <mergeCell ref="X3:Y3"/>
    <mergeCell ref="X4:X5"/>
    <mergeCell ref="Y4:Y5"/>
    <mergeCell ref="F3:F5"/>
    <mergeCell ref="G3:G5"/>
    <mergeCell ref="H3:H5"/>
    <mergeCell ref="Z6:AA6"/>
    <mergeCell ref="X6:Y6"/>
    <mergeCell ref="I3:I5"/>
    <mergeCell ref="AB3:AC3"/>
    <mergeCell ref="S3:S5"/>
    <mergeCell ref="P3:P5"/>
    <mergeCell ref="O3:O5"/>
    <mergeCell ref="J3:M3"/>
    <mergeCell ref="T3:U3"/>
    <mergeCell ref="V3:W3"/>
    <mergeCell ref="AB4:AB5"/>
    <mergeCell ref="AC4:AC5"/>
    <mergeCell ref="A1:AG1"/>
    <mergeCell ref="A3:A5"/>
    <mergeCell ref="B3:B5"/>
    <mergeCell ref="C3:C5"/>
    <mergeCell ref="D3:D5"/>
    <mergeCell ref="E3:E5"/>
    <mergeCell ref="AE3:AG3"/>
    <mergeCell ref="J4:L4"/>
    <mergeCell ref="M4:M5"/>
    <mergeCell ref="T4:T5"/>
    <mergeCell ref="U4:U5"/>
    <mergeCell ref="R3:R5"/>
    <mergeCell ref="A2:AG2"/>
    <mergeCell ref="Z3:AA3"/>
    <mergeCell ref="Z4:Z5"/>
    <mergeCell ref="AA4:AA5"/>
    <mergeCell ref="B30:AG30"/>
    <mergeCell ref="B7:AG7"/>
    <mergeCell ref="Q3:Q5"/>
    <mergeCell ref="B58:AG58"/>
    <mergeCell ref="B103:AD103"/>
    <mergeCell ref="B102:AG102"/>
    <mergeCell ref="A96:AG96"/>
    <mergeCell ref="A97:AG97"/>
    <mergeCell ref="B98:AD98"/>
    <mergeCell ref="B99:AD99"/>
    <mergeCell ref="B100:AD100"/>
    <mergeCell ref="B101:AD101"/>
    <mergeCell ref="J6:M6"/>
    <mergeCell ref="T6:U6"/>
    <mergeCell ref="N3:N5"/>
    <mergeCell ref="AB6:AC6"/>
  </mergeCells>
  <pageMargins left="0.19685039370078741" right="0.19685039370078741" top="0.19685039370078741" bottom="7.874015748031496E-2" header="0.31496062992125984" footer="0.31496062992125984"/>
  <pageSetup scale="26"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
  <sheetViews>
    <sheetView showGridLines="0" zoomScale="90" zoomScaleNormal="90" workbookViewId="0">
      <selection sqref="A1:G1"/>
    </sheetView>
  </sheetViews>
  <sheetFormatPr defaultColWidth="9.140625" defaultRowHeight="15.75" x14ac:dyDescent="0.25"/>
  <cols>
    <col min="1" max="1" width="9.140625" style="18"/>
    <col min="2" max="2" width="7.42578125" style="18" bestFit="1" customWidth="1"/>
    <col min="3" max="3" width="28.28515625" style="18" customWidth="1"/>
    <col min="4" max="4" width="24.140625" style="18" customWidth="1"/>
    <col min="5" max="5" width="18.42578125" style="18" bestFit="1" customWidth="1"/>
    <col min="6" max="6" width="35.85546875" style="18" customWidth="1"/>
    <col min="7" max="16384" width="9.140625" style="18"/>
  </cols>
  <sheetData>
    <row r="1" spans="1:7" ht="25.5" customHeight="1" x14ac:dyDescent="0.25">
      <c r="A1" s="392" t="s">
        <v>202</v>
      </c>
      <c r="B1" s="392"/>
      <c r="C1" s="392"/>
      <c r="D1" s="392"/>
      <c r="E1" s="392"/>
      <c r="F1" s="392"/>
      <c r="G1" s="392"/>
    </row>
    <row r="2" spans="1:7" ht="17.25" customHeight="1" x14ac:dyDescent="0.25">
      <c r="B2" s="375"/>
      <c r="C2" s="375"/>
      <c r="D2" s="375"/>
      <c r="E2" s="375"/>
      <c r="F2" s="375"/>
    </row>
    <row r="3" spans="1:7" ht="33" customHeight="1" x14ac:dyDescent="0.25">
      <c r="B3" s="32" t="s">
        <v>197</v>
      </c>
      <c r="C3" s="33" t="s">
        <v>203</v>
      </c>
      <c r="D3" s="33" t="s">
        <v>204</v>
      </c>
      <c r="E3" s="33" t="s">
        <v>134</v>
      </c>
      <c r="F3" s="32" t="s">
        <v>205</v>
      </c>
    </row>
    <row r="4" spans="1:7" s="17" customFormat="1" ht="24.75" customHeight="1" x14ac:dyDescent="0.25">
      <c r="B4" s="34">
        <v>1</v>
      </c>
      <c r="C4" s="35" t="s">
        <v>118</v>
      </c>
      <c r="D4" s="35" t="s">
        <v>118</v>
      </c>
      <c r="E4" s="35" t="s">
        <v>118</v>
      </c>
      <c r="F4" s="35" t="s">
        <v>118</v>
      </c>
    </row>
  </sheetData>
  <mergeCells count="2">
    <mergeCell ref="A1:G1"/>
    <mergeCell ref="B2:F2"/>
  </mergeCells>
  <pageMargins left="0.19685039370078741" right="0.19685039370078741" top="0.74803149606299213" bottom="0.74803149606299213" header="0.31496062992125984" footer="0.31496062992125984"/>
  <pageSetup scale="7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G4"/>
  <sheetViews>
    <sheetView showGridLines="0" zoomScale="80" zoomScaleNormal="80" workbookViewId="0">
      <selection sqref="A1:G1"/>
    </sheetView>
  </sheetViews>
  <sheetFormatPr defaultColWidth="9.140625" defaultRowHeight="15.75" x14ac:dyDescent="0.25"/>
  <cols>
    <col min="1" max="1" width="9.140625" style="18"/>
    <col min="2" max="2" width="7.7109375" style="18" bestFit="1" customWidth="1"/>
    <col min="3" max="3" width="25.7109375" style="18" bestFit="1" customWidth="1"/>
    <col min="4" max="4" width="48.7109375" style="18" bestFit="1" customWidth="1"/>
    <col min="5" max="5" width="24.28515625" style="18" bestFit="1" customWidth="1"/>
    <col min="6" max="6" width="59.140625" style="18" bestFit="1" customWidth="1"/>
    <col min="7" max="16384" width="9.140625" style="18"/>
  </cols>
  <sheetData>
    <row r="1" spans="1:7" ht="34.5" customHeight="1" x14ac:dyDescent="0.25">
      <c r="A1" s="393" t="s">
        <v>206</v>
      </c>
      <c r="B1" s="393"/>
      <c r="C1" s="393"/>
      <c r="D1" s="393"/>
      <c r="E1" s="393"/>
      <c r="F1" s="393"/>
      <c r="G1" s="393"/>
    </row>
    <row r="2" spans="1:7" ht="19.5" customHeight="1" x14ac:dyDescent="0.25"/>
    <row r="3" spans="1:7" ht="57.75" customHeight="1" x14ac:dyDescent="0.25">
      <c r="B3" s="73" t="s">
        <v>197</v>
      </c>
      <c r="C3" s="73" t="s">
        <v>198</v>
      </c>
      <c r="D3" s="73" t="s">
        <v>199</v>
      </c>
      <c r="E3" s="73" t="s">
        <v>200</v>
      </c>
      <c r="F3" s="73" t="s">
        <v>207</v>
      </c>
    </row>
    <row r="4" spans="1:7" ht="21" customHeight="1" x14ac:dyDescent="0.25">
      <c r="B4" s="34">
        <v>1</v>
      </c>
      <c r="C4" s="34" t="s">
        <v>118</v>
      </c>
      <c r="D4" s="34" t="s">
        <v>118</v>
      </c>
      <c r="E4" s="34" t="s">
        <v>118</v>
      </c>
      <c r="F4" s="34" t="s">
        <v>118</v>
      </c>
      <c r="G4" s="17"/>
    </row>
  </sheetData>
  <mergeCells count="1">
    <mergeCell ref="A1:G1"/>
  </mergeCells>
  <pageMargins left="0.19685039370078741" right="0.19685039370078741" top="0.74803149606299213" bottom="0.74803149606299213" header="0.31496062992125984" footer="0.31496062992125984"/>
  <pageSetup scale="5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9"/>
  <sheetViews>
    <sheetView showGridLines="0" zoomScale="80" zoomScaleNormal="80" workbookViewId="0">
      <selection sqref="A1:AG1"/>
    </sheetView>
  </sheetViews>
  <sheetFormatPr defaultColWidth="9.140625" defaultRowHeight="15" x14ac:dyDescent="0.25"/>
  <cols>
    <col min="1" max="1" width="8.42578125" style="19" bestFit="1" customWidth="1"/>
    <col min="2" max="2" width="34.7109375" style="10" customWidth="1"/>
    <col min="3" max="3" width="17.140625" style="19" customWidth="1"/>
    <col min="4" max="5" width="16.42578125" style="19" customWidth="1"/>
    <col min="6" max="6" width="11.7109375" style="19" customWidth="1"/>
    <col min="7" max="7" width="13.28515625" style="19" customWidth="1"/>
    <col min="8" max="8" width="16.42578125" style="19" customWidth="1"/>
    <col min="9" max="9" width="13.140625" style="20" customWidth="1"/>
    <col min="10" max="11" width="13.140625" style="19" customWidth="1"/>
    <col min="12" max="12" width="14.7109375" style="19" customWidth="1"/>
    <col min="13" max="13" width="9.85546875" style="19" customWidth="1"/>
    <col min="14" max="14" width="14.85546875" style="19" customWidth="1"/>
    <col min="15" max="15" width="15" style="19" customWidth="1"/>
    <col min="16" max="16" width="14.42578125" style="19" customWidth="1"/>
    <col min="17" max="18" width="15.42578125" style="19" customWidth="1"/>
    <col min="19" max="19" width="17.7109375" style="20" customWidth="1"/>
    <col min="20" max="20" width="16.42578125" style="19" customWidth="1"/>
    <col min="21" max="21" width="9.42578125" style="20" customWidth="1"/>
    <col min="22" max="22" width="11.42578125" style="19" customWidth="1"/>
    <col min="23" max="23" width="9.42578125" style="19" customWidth="1"/>
    <col min="24" max="24" width="11.42578125" style="19" customWidth="1"/>
    <col min="25" max="25" width="9.42578125" style="19" customWidth="1"/>
    <col min="26" max="26" width="11.42578125" style="19" customWidth="1"/>
    <col min="27" max="27" width="9.42578125" style="19" customWidth="1"/>
    <col min="28" max="28" width="11.42578125" style="19" customWidth="1"/>
    <col min="29" max="29" width="9.42578125" style="19" customWidth="1"/>
    <col min="30" max="30" width="16.42578125" style="19" customWidth="1"/>
    <col min="31" max="33" width="12.42578125" style="19" customWidth="1"/>
    <col min="34" max="16384" width="9.140625" style="19"/>
  </cols>
  <sheetData>
    <row r="1" spans="1:33" s="26" customFormat="1" ht="25.5" customHeight="1" x14ac:dyDescent="0.3">
      <c r="A1" s="394" t="s">
        <v>119</v>
      </c>
      <c r="B1" s="395"/>
      <c r="C1" s="395"/>
      <c r="D1" s="395"/>
      <c r="E1" s="395"/>
      <c r="F1" s="395"/>
      <c r="G1" s="395"/>
      <c r="H1" s="395"/>
      <c r="I1" s="395"/>
      <c r="J1" s="395"/>
      <c r="K1" s="395"/>
      <c r="L1" s="395"/>
      <c r="M1" s="395"/>
      <c r="N1" s="395"/>
      <c r="O1" s="395"/>
      <c r="P1" s="395"/>
      <c r="Q1" s="395"/>
      <c r="R1" s="395"/>
      <c r="S1" s="395"/>
      <c r="T1" s="395"/>
      <c r="U1" s="395"/>
      <c r="V1" s="395"/>
      <c r="W1" s="395"/>
      <c r="X1" s="395"/>
      <c r="Y1" s="395"/>
      <c r="Z1" s="395"/>
      <c r="AA1" s="395"/>
      <c r="AB1" s="395"/>
      <c r="AC1" s="395"/>
      <c r="AD1" s="395"/>
      <c r="AE1" s="395"/>
      <c r="AF1" s="395"/>
      <c r="AG1" s="396"/>
    </row>
    <row r="2" spans="1:33" s="3" customFormat="1" ht="8.25" customHeight="1" x14ac:dyDescent="0.25">
      <c r="A2" s="388"/>
      <c r="B2" s="388"/>
      <c r="C2" s="388"/>
      <c r="D2" s="388"/>
      <c r="E2" s="388"/>
      <c r="F2" s="388"/>
      <c r="G2" s="388"/>
      <c r="H2" s="388"/>
      <c r="I2" s="388"/>
      <c r="J2" s="388"/>
      <c r="K2" s="388"/>
      <c r="L2" s="388"/>
      <c r="M2" s="388"/>
      <c r="N2" s="388"/>
      <c r="O2" s="388"/>
      <c r="P2" s="388"/>
      <c r="Q2" s="388"/>
      <c r="R2" s="388"/>
      <c r="S2" s="388"/>
      <c r="T2" s="388"/>
      <c r="U2" s="388"/>
      <c r="V2" s="388"/>
      <c r="W2" s="388"/>
      <c r="X2" s="388"/>
      <c r="Y2" s="388"/>
      <c r="Z2" s="388"/>
      <c r="AA2" s="388"/>
      <c r="AB2" s="388"/>
      <c r="AC2" s="388"/>
      <c r="AD2" s="388"/>
      <c r="AE2" s="388"/>
      <c r="AF2" s="388"/>
      <c r="AG2" s="388"/>
    </row>
    <row r="3" spans="1:33" s="27" customFormat="1" ht="52.5" customHeight="1" x14ac:dyDescent="0.25">
      <c r="A3" s="397" t="s">
        <v>151</v>
      </c>
      <c r="B3" s="397" t="s">
        <v>45</v>
      </c>
      <c r="C3" s="397" t="s">
        <v>47</v>
      </c>
      <c r="D3" s="397" t="s">
        <v>48</v>
      </c>
      <c r="E3" s="397" t="s">
        <v>49</v>
      </c>
      <c r="F3" s="397" t="s">
        <v>50</v>
      </c>
      <c r="G3" s="397" t="s">
        <v>40</v>
      </c>
      <c r="H3" s="397" t="s">
        <v>14</v>
      </c>
      <c r="I3" s="399" t="s">
        <v>15</v>
      </c>
      <c r="J3" s="397" t="s">
        <v>16</v>
      </c>
      <c r="K3" s="397"/>
      <c r="L3" s="397"/>
      <c r="M3" s="397"/>
      <c r="N3" s="398" t="s">
        <v>172</v>
      </c>
      <c r="O3" s="398" t="s">
        <v>174</v>
      </c>
      <c r="P3" s="398" t="s">
        <v>176</v>
      </c>
      <c r="Q3" s="398" t="s">
        <v>178</v>
      </c>
      <c r="R3" s="398" t="s">
        <v>180</v>
      </c>
      <c r="S3" s="400" t="s">
        <v>182</v>
      </c>
      <c r="T3" s="397" t="s">
        <v>17</v>
      </c>
      <c r="U3" s="397"/>
      <c r="V3" s="398" t="s">
        <v>185</v>
      </c>
      <c r="W3" s="398"/>
      <c r="X3" s="398" t="s">
        <v>186</v>
      </c>
      <c r="Y3" s="398"/>
      <c r="Z3" s="398" t="s">
        <v>188</v>
      </c>
      <c r="AA3" s="398"/>
      <c r="AB3" s="398" t="s">
        <v>191</v>
      </c>
      <c r="AC3" s="398"/>
      <c r="AD3" s="397" t="s">
        <v>18</v>
      </c>
      <c r="AE3" s="398" t="s">
        <v>194</v>
      </c>
      <c r="AF3" s="398"/>
      <c r="AG3" s="398"/>
    </row>
    <row r="4" spans="1:33" s="28" customFormat="1" ht="46.5" customHeight="1" x14ac:dyDescent="0.25">
      <c r="A4" s="397"/>
      <c r="B4" s="397"/>
      <c r="C4" s="397"/>
      <c r="D4" s="397"/>
      <c r="E4" s="397"/>
      <c r="F4" s="397"/>
      <c r="G4" s="397"/>
      <c r="H4" s="397"/>
      <c r="I4" s="399"/>
      <c r="J4" s="397" t="s">
        <v>19</v>
      </c>
      <c r="K4" s="397"/>
      <c r="L4" s="397"/>
      <c r="M4" s="397" t="s">
        <v>51</v>
      </c>
      <c r="N4" s="398"/>
      <c r="O4" s="398"/>
      <c r="P4" s="398"/>
      <c r="Q4" s="398"/>
      <c r="R4" s="398"/>
      <c r="S4" s="400"/>
      <c r="T4" s="397" t="s">
        <v>20</v>
      </c>
      <c r="U4" s="399" t="s">
        <v>21</v>
      </c>
      <c r="V4" s="398" t="s">
        <v>20</v>
      </c>
      <c r="W4" s="398" t="s">
        <v>21</v>
      </c>
      <c r="X4" s="398" t="s">
        <v>20</v>
      </c>
      <c r="Y4" s="398" t="s">
        <v>21</v>
      </c>
      <c r="Z4" s="398" t="s">
        <v>20</v>
      </c>
      <c r="AA4" s="398" t="s">
        <v>21</v>
      </c>
      <c r="AB4" s="398" t="s">
        <v>20</v>
      </c>
      <c r="AC4" s="398" t="s">
        <v>21</v>
      </c>
      <c r="AD4" s="397"/>
      <c r="AE4" s="398" t="s">
        <v>69</v>
      </c>
      <c r="AF4" s="398"/>
      <c r="AG4" s="398"/>
    </row>
    <row r="5" spans="1:33" s="29" customFormat="1" ht="44.25" customHeight="1" x14ac:dyDescent="0.25">
      <c r="A5" s="397"/>
      <c r="B5" s="397"/>
      <c r="C5" s="397"/>
      <c r="D5" s="397"/>
      <c r="E5" s="397"/>
      <c r="F5" s="397"/>
      <c r="G5" s="397"/>
      <c r="H5" s="397"/>
      <c r="I5" s="399"/>
      <c r="J5" s="11" t="s">
        <v>159</v>
      </c>
      <c r="K5" s="11" t="s">
        <v>160</v>
      </c>
      <c r="L5" s="11" t="s">
        <v>22</v>
      </c>
      <c r="M5" s="397"/>
      <c r="N5" s="398"/>
      <c r="O5" s="398"/>
      <c r="P5" s="398"/>
      <c r="Q5" s="398"/>
      <c r="R5" s="398"/>
      <c r="S5" s="400"/>
      <c r="T5" s="397"/>
      <c r="U5" s="399"/>
      <c r="V5" s="398"/>
      <c r="W5" s="398"/>
      <c r="X5" s="398"/>
      <c r="Y5" s="398"/>
      <c r="Z5" s="398"/>
      <c r="AA5" s="398"/>
      <c r="AB5" s="398"/>
      <c r="AC5" s="398"/>
      <c r="AD5" s="397"/>
      <c r="AE5" s="398" t="s">
        <v>70</v>
      </c>
      <c r="AF5" s="398" t="s">
        <v>71</v>
      </c>
      <c r="AG5" s="398" t="s">
        <v>72</v>
      </c>
    </row>
    <row r="6" spans="1:33" s="30" customFormat="1" ht="42.75" customHeight="1" x14ac:dyDescent="0.25">
      <c r="A6" s="12" t="s">
        <v>44</v>
      </c>
      <c r="B6" s="11" t="s">
        <v>23</v>
      </c>
      <c r="C6" s="12" t="s">
        <v>24</v>
      </c>
      <c r="D6" s="12" t="s">
        <v>25</v>
      </c>
      <c r="E6" s="12" t="s">
        <v>26</v>
      </c>
      <c r="F6" s="12" t="s">
        <v>27</v>
      </c>
      <c r="G6" s="12" t="s">
        <v>28</v>
      </c>
      <c r="H6" s="11" t="s">
        <v>29</v>
      </c>
      <c r="I6" s="13" t="s">
        <v>30</v>
      </c>
      <c r="J6" s="402" t="s">
        <v>31</v>
      </c>
      <c r="K6" s="402"/>
      <c r="L6" s="402"/>
      <c r="M6" s="402"/>
      <c r="N6" s="14" t="s">
        <v>173</v>
      </c>
      <c r="O6" s="14" t="s">
        <v>175</v>
      </c>
      <c r="P6" s="14" t="s">
        <v>177</v>
      </c>
      <c r="Q6" s="14" t="s">
        <v>179</v>
      </c>
      <c r="R6" s="14" t="s">
        <v>181</v>
      </c>
      <c r="S6" s="15" t="s">
        <v>183</v>
      </c>
      <c r="T6" s="402" t="s">
        <v>184</v>
      </c>
      <c r="U6" s="402"/>
      <c r="V6" s="398" t="s">
        <v>32</v>
      </c>
      <c r="W6" s="398"/>
      <c r="X6" s="398" t="s">
        <v>187</v>
      </c>
      <c r="Y6" s="398"/>
      <c r="Z6" s="398" t="s">
        <v>189</v>
      </c>
      <c r="AA6" s="398"/>
      <c r="AB6" s="398" t="s">
        <v>190</v>
      </c>
      <c r="AC6" s="398"/>
      <c r="AD6" s="11" t="s">
        <v>193</v>
      </c>
      <c r="AE6" s="401"/>
      <c r="AF6" s="401"/>
      <c r="AG6" s="401"/>
    </row>
    <row r="7" spans="1:33" s="220" customFormat="1" ht="33.75" customHeight="1" x14ac:dyDescent="0.25">
      <c r="A7" s="192" t="s">
        <v>113</v>
      </c>
      <c r="B7" s="141" t="s">
        <v>122</v>
      </c>
      <c r="C7" s="140" t="s">
        <v>5</v>
      </c>
      <c r="D7" s="321">
        <v>0</v>
      </c>
      <c r="E7" s="322">
        <v>0</v>
      </c>
      <c r="F7" s="215">
        <v>0</v>
      </c>
      <c r="G7" s="215">
        <v>0</v>
      </c>
      <c r="H7" s="215">
        <f>E7+F7+G7</f>
        <v>0</v>
      </c>
      <c r="I7" s="193"/>
      <c r="J7" s="215">
        <f t="shared" ref="J7:J8" si="0">H7</f>
        <v>0</v>
      </c>
      <c r="K7" s="215">
        <v>0</v>
      </c>
      <c r="L7" s="215">
        <f>J7+K7</f>
        <v>0</v>
      </c>
      <c r="M7" s="218">
        <f>IFERROR(L7/'Table I'!$E$12*100,0)</f>
        <v>0</v>
      </c>
      <c r="N7" s="215">
        <v>0</v>
      </c>
      <c r="O7" s="215">
        <v>0</v>
      </c>
      <c r="P7" s="215">
        <v>0</v>
      </c>
      <c r="Q7" s="215">
        <f t="shared" ref="Q7:Q8" si="1">P7+O7+N7</f>
        <v>0</v>
      </c>
      <c r="R7" s="215">
        <f t="shared" ref="R7:R8" si="2">Q7+H7</f>
        <v>0</v>
      </c>
      <c r="S7" s="193"/>
      <c r="T7" s="322">
        <v>0</v>
      </c>
      <c r="U7" s="218">
        <f>IFERROR(T7/E7*100,0)</f>
        <v>0</v>
      </c>
      <c r="V7" s="272"/>
      <c r="W7" s="255"/>
      <c r="X7" s="272"/>
      <c r="Y7" s="255"/>
      <c r="Z7" s="272"/>
      <c r="AA7" s="255"/>
      <c r="AB7" s="272"/>
      <c r="AC7" s="255"/>
      <c r="AD7" s="273">
        <f>E7</f>
        <v>0</v>
      </c>
      <c r="AE7" s="190"/>
      <c r="AF7" s="189"/>
      <c r="AG7" s="191"/>
    </row>
    <row r="8" spans="1:33" s="220" customFormat="1" ht="54.75" customHeight="1" x14ac:dyDescent="0.25">
      <c r="A8" s="192" t="s">
        <v>114</v>
      </c>
      <c r="B8" s="141" t="s">
        <v>123</v>
      </c>
      <c r="C8" s="140" t="s">
        <v>5</v>
      </c>
      <c r="D8" s="321">
        <v>0</v>
      </c>
      <c r="E8" s="322">
        <v>0</v>
      </c>
      <c r="F8" s="215">
        <v>0</v>
      </c>
      <c r="G8" s="215">
        <v>0</v>
      </c>
      <c r="H8" s="215">
        <f t="shared" ref="H8" si="3">E8+F8+G8</f>
        <v>0</v>
      </c>
      <c r="I8" s="218">
        <f>IFERROR(H8/'Table I'!$E$12*100,0)</f>
        <v>0</v>
      </c>
      <c r="J8" s="215">
        <f t="shared" si="0"/>
        <v>0</v>
      </c>
      <c r="K8" s="215">
        <v>0</v>
      </c>
      <c r="L8" s="215">
        <f t="shared" ref="L8" si="4">J8+K8</f>
        <v>0</v>
      </c>
      <c r="M8" s="218">
        <f>IFERROR(L8/'Table I'!$E$12*100,0)</f>
        <v>0</v>
      </c>
      <c r="N8" s="215">
        <v>0</v>
      </c>
      <c r="O8" s="215">
        <v>0</v>
      </c>
      <c r="P8" s="215">
        <v>0</v>
      </c>
      <c r="Q8" s="215">
        <f t="shared" si="1"/>
        <v>0</v>
      </c>
      <c r="R8" s="215">
        <f t="shared" si="2"/>
        <v>0</v>
      </c>
      <c r="S8" s="218">
        <f>IFERROR((R8/('Table I'!$R$12)*100),0)</f>
        <v>0</v>
      </c>
      <c r="T8" s="322">
        <v>0</v>
      </c>
      <c r="U8" s="218">
        <f t="shared" ref="U8" si="5">IFERROR(T8/E8*100,0)</f>
        <v>0</v>
      </c>
      <c r="V8" s="272"/>
      <c r="W8" s="255"/>
      <c r="X8" s="272"/>
      <c r="Y8" s="255"/>
      <c r="Z8" s="272"/>
      <c r="AA8" s="255"/>
      <c r="AB8" s="272"/>
      <c r="AC8" s="255"/>
      <c r="AD8" s="215">
        <f t="shared" ref="AD8" si="6">E8</f>
        <v>0</v>
      </c>
      <c r="AE8" s="142">
        <v>0</v>
      </c>
      <c r="AF8" s="142">
        <v>0</v>
      </c>
      <c r="AG8" s="142">
        <v>0</v>
      </c>
    </row>
    <row r="9" spans="1:33" s="222" customFormat="1" ht="42" customHeight="1" x14ac:dyDescent="0.25">
      <c r="A9" s="311"/>
      <c r="B9" s="312" t="s">
        <v>124</v>
      </c>
      <c r="C9" s="311" t="s">
        <v>5</v>
      </c>
      <c r="D9" s="321">
        <f>$D$8+$D$7</f>
        <v>0</v>
      </c>
      <c r="E9" s="323">
        <f>$E$8+$E$7</f>
        <v>0</v>
      </c>
      <c r="F9" s="215">
        <v>0</v>
      </c>
      <c r="G9" s="215">
        <v>0</v>
      </c>
      <c r="H9" s="215">
        <f>$E$9</f>
        <v>0</v>
      </c>
      <c r="I9" s="218"/>
      <c r="J9" s="215">
        <f>$L$9</f>
        <v>0</v>
      </c>
      <c r="K9" s="215">
        <v>0</v>
      </c>
      <c r="L9" s="215">
        <f>$H$9</f>
        <v>0</v>
      </c>
      <c r="M9" s="218">
        <f>$I$9</f>
        <v>0</v>
      </c>
      <c r="N9" s="215">
        <f>$N$8+$N$7</f>
        <v>0</v>
      </c>
      <c r="O9" s="215">
        <f>$O$8+$O$7</f>
        <v>0</v>
      </c>
      <c r="P9" s="215">
        <f>$P$8+$P$7</f>
        <v>0</v>
      </c>
      <c r="Q9" s="215">
        <f>$P$9+$O$9+$N$9</f>
        <v>0</v>
      </c>
      <c r="R9" s="215">
        <f>$Q$9+$H$9</f>
        <v>0</v>
      </c>
      <c r="S9" s="218"/>
      <c r="T9" s="323">
        <f>$T$8+$T$7</f>
        <v>0</v>
      </c>
      <c r="U9" s="219">
        <f>IFERROR($T$9/$E$9*100,0)</f>
        <v>0</v>
      </c>
      <c r="V9" s="313"/>
      <c r="W9" s="314"/>
      <c r="X9" s="315"/>
      <c r="Y9" s="314"/>
      <c r="Z9" s="315"/>
      <c r="AA9" s="314"/>
      <c r="AB9" s="315"/>
      <c r="AC9" s="316"/>
      <c r="AD9" s="317">
        <f>$AD$8+$AD$7</f>
        <v>0</v>
      </c>
      <c r="AE9" s="318"/>
      <c r="AF9" s="319"/>
      <c r="AG9" s="320"/>
    </row>
  </sheetData>
  <mergeCells count="47">
    <mergeCell ref="AE4:AG4"/>
    <mergeCell ref="AE5:AE6"/>
    <mergeCell ref="AF5:AF6"/>
    <mergeCell ref="AG5:AG6"/>
    <mergeCell ref="J6:M6"/>
    <mergeCell ref="T6:U6"/>
    <mergeCell ref="V6:W6"/>
    <mergeCell ref="X6:Y6"/>
    <mergeCell ref="Z6:AA6"/>
    <mergeCell ref="AD3:AD5"/>
    <mergeCell ref="J3:M3"/>
    <mergeCell ref="N3:N5"/>
    <mergeCell ref="M4:M5"/>
    <mergeCell ref="V3:W3"/>
    <mergeCell ref="X3:Y3"/>
    <mergeCell ref="Z3:AA3"/>
    <mergeCell ref="O3:O5"/>
    <mergeCell ref="P3:P5"/>
    <mergeCell ref="AB6:AC6"/>
    <mergeCell ref="AB4:AB5"/>
    <mergeCell ref="AC4:AC5"/>
    <mergeCell ref="Q3:Q5"/>
    <mergeCell ref="AB3:AC3"/>
    <mergeCell ref="T4:T5"/>
    <mergeCell ref="U4:U5"/>
    <mergeCell ref="V4:V5"/>
    <mergeCell ref="W4:W5"/>
    <mergeCell ref="X4:X5"/>
    <mergeCell ref="R3:R5"/>
    <mergeCell ref="S3:S5"/>
    <mergeCell ref="T3:U3"/>
    <mergeCell ref="A1:AG1"/>
    <mergeCell ref="A2:AG2"/>
    <mergeCell ref="A3:A5"/>
    <mergeCell ref="B3:B5"/>
    <mergeCell ref="C3:C5"/>
    <mergeCell ref="D3:D5"/>
    <mergeCell ref="E3:E5"/>
    <mergeCell ref="F3:F5"/>
    <mergeCell ref="G3:G5"/>
    <mergeCell ref="H3:H5"/>
    <mergeCell ref="Y4:Y5"/>
    <mergeCell ref="Z4:Z5"/>
    <mergeCell ref="AA4:AA5"/>
    <mergeCell ref="AE3:AG3"/>
    <mergeCell ref="J4:L4"/>
    <mergeCell ref="I3:I5"/>
  </mergeCells>
  <pageMargins left="0.19685039370078741" right="0.19685039370078741" top="0.19685039370078741" bottom="7.874015748031496E-2" header="0.31496062992125984" footer="0.31496062992125984"/>
  <pageSetup scale="2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J9"/>
  <sheetViews>
    <sheetView zoomScale="90" zoomScaleNormal="90" workbookViewId="0">
      <selection activeCell="A2" sqref="A2:J2"/>
    </sheetView>
  </sheetViews>
  <sheetFormatPr defaultColWidth="9.140625" defaultRowHeight="15.75" x14ac:dyDescent="0.25"/>
  <cols>
    <col min="1" max="1" width="7" style="3" bestFit="1" customWidth="1"/>
    <col min="2" max="2" width="35.7109375" style="3" customWidth="1"/>
    <col min="3" max="3" width="16.85546875" style="3" customWidth="1"/>
    <col min="4" max="4" width="16" style="3" customWidth="1"/>
    <col min="5" max="5" width="31.42578125" style="3" customWidth="1"/>
    <col min="6" max="6" width="14.42578125" style="3" customWidth="1"/>
    <col min="7" max="7" width="17" style="3" customWidth="1"/>
    <col min="8" max="8" width="18.42578125" style="3" bestFit="1" customWidth="1"/>
    <col min="9" max="9" width="27.42578125" style="3" bestFit="1" customWidth="1"/>
    <col min="10" max="10" width="25.28515625" style="3" bestFit="1" customWidth="1"/>
    <col min="11" max="16384" width="9.140625" style="3"/>
  </cols>
  <sheetData>
    <row r="1" spans="1:10" ht="8.25" customHeight="1" x14ac:dyDescent="0.25">
      <c r="A1" s="403"/>
      <c r="B1" s="403"/>
      <c r="C1" s="403"/>
      <c r="D1" s="403"/>
      <c r="E1" s="403"/>
      <c r="F1" s="403"/>
      <c r="G1" s="403"/>
      <c r="H1" s="403"/>
      <c r="I1" s="403"/>
      <c r="J1" s="403"/>
    </row>
    <row r="2" spans="1:10" s="335" customFormat="1" ht="21" customHeight="1" x14ac:dyDescent="0.25">
      <c r="A2" s="404" t="s">
        <v>125</v>
      </c>
      <c r="B2" s="405"/>
      <c r="C2" s="405"/>
      <c r="D2" s="405"/>
      <c r="E2" s="405"/>
      <c r="F2" s="405"/>
      <c r="G2" s="405"/>
      <c r="H2" s="405"/>
      <c r="I2" s="405"/>
      <c r="J2" s="406"/>
    </row>
    <row r="3" spans="1:10" s="6" customFormat="1" ht="6" customHeight="1" x14ac:dyDescent="0.25">
      <c r="A3" s="36"/>
      <c r="B3" s="36"/>
      <c r="C3" s="36"/>
      <c r="D3" s="36"/>
      <c r="E3" s="36"/>
      <c r="F3" s="36"/>
      <c r="G3" s="36"/>
      <c r="H3" s="36"/>
      <c r="I3" s="36"/>
      <c r="J3" s="36"/>
    </row>
    <row r="4" spans="1:10" customFormat="1" ht="60" customHeight="1" x14ac:dyDescent="0.25">
      <c r="A4" s="386" t="s">
        <v>126</v>
      </c>
      <c r="B4" s="386" t="s">
        <v>127</v>
      </c>
      <c r="C4" s="386"/>
      <c r="D4" s="386"/>
      <c r="E4" s="386" t="s">
        <v>128</v>
      </c>
      <c r="F4" s="386"/>
      <c r="G4" s="386"/>
      <c r="H4" s="386" t="s">
        <v>129</v>
      </c>
      <c r="I4" s="386"/>
      <c r="J4" s="386" t="s">
        <v>130</v>
      </c>
    </row>
    <row r="5" spans="1:10" customFormat="1" ht="96.75" customHeight="1" x14ac:dyDescent="0.25">
      <c r="A5" s="386"/>
      <c r="B5" s="2" t="s">
        <v>131</v>
      </c>
      <c r="C5" s="2" t="s">
        <v>47</v>
      </c>
      <c r="D5" s="2" t="s">
        <v>132</v>
      </c>
      <c r="E5" s="2" t="s">
        <v>133</v>
      </c>
      <c r="F5" s="2" t="s">
        <v>47</v>
      </c>
      <c r="G5" s="2" t="s">
        <v>132</v>
      </c>
      <c r="H5" s="1" t="s">
        <v>134</v>
      </c>
      <c r="I5" s="1" t="s">
        <v>135</v>
      </c>
      <c r="J5" s="386"/>
    </row>
    <row r="6" spans="1:10" s="17" customFormat="1" ht="18" customHeight="1" x14ac:dyDescent="0.25">
      <c r="A6" s="74" t="s">
        <v>118</v>
      </c>
      <c r="B6" s="74" t="s">
        <v>118</v>
      </c>
      <c r="C6" s="74" t="s">
        <v>118</v>
      </c>
      <c r="D6" s="74" t="s">
        <v>118</v>
      </c>
      <c r="E6" s="74" t="s">
        <v>118</v>
      </c>
      <c r="F6" s="74" t="s">
        <v>118</v>
      </c>
      <c r="G6" s="74" t="s">
        <v>118</v>
      </c>
      <c r="H6" s="74" t="s">
        <v>118</v>
      </c>
      <c r="I6" s="74" t="s">
        <v>118</v>
      </c>
      <c r="J6" s="74" t="s">
        <v>118</v>
      </c>
    </row>
    <row r="7" spans="1:10" ht="18" customHeight="1" x14ac:dyDescent="0.25">
      <c r="A7" s="75"/>
      <c r="B7" s="75"/>
      <c r="C7" s="75"/>
      <c r="D7" s="75"/>
      <c r="E7" s="75"/>
      <c r="F7" s="75"/>
      <c r="G7" s="75"/>
      <c r="H7" s="75"/>
      <c r="I7" s="75"/>
      <c r="J7" s="75"/>
    </row>
    <row r="8" spans="1:10" ht="18" customHeight="1" x14ac:dyDescent="0.25">
      <c r="A8" s="75"/>
      <c r="B8" s="75"/>
      <c r="C8" s="75"/>
      <c r="D8" s="75"/>
      <c r="E8" s="75"/>
      <c r="F8" s="75"/>
      <c r="G8" s="75"/>
      <c r="H8" s="75"/>
      <c r="I8" s="75"/>
      <c r="J8" s="75"/>
    </row>
    <row r="9" spans="1:10" ht="18" customHeight="1" x14ac:dyDescent="0.25">
      <c r="A9" s="75"/>
      <c r="B9" s="75"/>
      <c r="C9" s="75"/>
      <c r="D9" s="75"/>
      <c r="E9" s="75"/>
      <c r="F9" s="75"/>
      <c r="G9" s="75"/>
      <c r="H9" s="75"/>
      <c r="I9" s="75"/>
      <c r="J9" s="75"/>
    </row>
  </sheetData>
  <mergeCells count="7">
    <mergeCell ref="A1:J1"/>
    <mergeCell ref="A2:J2"/>
    <mergeCell ref="A4:A5"/>
    <mergeCell ref="B4:D4"/>
    <mergeCell ref="E4:G4"/>
    <mergeCell ref="H4:I4"/>
    <mergeCell ref="J4:J5"/>
  </mergeCells>
  <pageMargins left="7.874015748031496E-2" right="7.874015748031496E-2" top="0.74803149606299213" bottom="0.74803149606299213" header="0.31496062992125984" footer="0.31496062992125984"/>
  <pageSetup scale="65"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E9"/>
  <sheetViews>
    <sheetView showGridLines="0" zoomScale="90" zoomScaleNormal="90" workbookViewId="0">
      <selection sqref="A1:E1"/>
    </sheetView>
  </sheetViews>
  <sheetFormatPr defaultColWidth="34.85546875" defaultRowHeight="15.75" x14ac:dyDescent="0.25"/>
  <cols>
    <col min="1" max="1" width="6.5703125" style="18" customWidth="1"/>
    <col min="2" max="2" width="44.7109375" style="18" customWidth="1"/>
    <col min="3" max="3" width="25.42578125" style="18" customWidth="1"/>
    <col min="4" max="4" width="25.42578125" style="77" customWidth="1"/>
    <col min="5" max="5" width="11" style="18" customWidth="1"/>
    <col min="6" max="16384" width="34.85546875" style="18"/>
  </cols>
  <sheetData>
    <row r="1" spans="1:5" ht="31.5" customHeight="1" x14ac:dyDescent="0.25">
      <c r="A1" s="411" t="s">
        <v>136</v>
      </c>
      <c r="B1" s="411"/>
      <c r="C1" s="411"/>
      <c r="D1" s="411"/>
      <c r="E1" s="411"/>
    </row>
    <row r="2" spans="1:5" ht="29.25" customHeight="1" x14ac:dyDescent="0.25">
      <c r="A2" s="408" t="s">
        <v>137</v>
      </c>
      <c r="B2" s="409"/>
      <c r="C2" s="409"/>
      <c r="D2" s="409"/>
      <c r="E2" s="410"/>
    </row>
    <row r="3" spans="1:5" ht="29.25" customHeight="1" x14ac:dyDescent="0.25">
      <c r="B3" s="407"/>
      <c r="C3" s="407"/>
      <c r="D3" s="407"/>
    </row>
    <row r="4" spans="1:5" ht="42.75" customHeight="1" x14ac:dyDescent="0.25">
      <c r="B4" s="5" t="s">
        <v>2</v>
      </c>
      <c r="C4" s="4" t="s">
        <v>224</v>
      </c>
      <c r="D4" s="76" t="s">
        <v>225</v>
      </c>
    </row>
    <row r="5" spans="1:5" ht="24" customHeight="1" x14ac:dyDescent="0.25">
      <c r="B5" s="173" t="s">
        <v>138</v>
      </c>
      <c r="C5" s="171">
        <v>100</v>
      </c>
      <c r="D5" s="172">
        <v>0</v>
      </c>
    </row>
    <row r="6" spans="1:5" ht="24" customHeight="1" x14ac:dyDescent="0.25">
      <c r="B6" s="173" t="s">
        <v>139</v>
      </c>
      <c r="C6" s="171">
        <v>100</v>
      </c>
      <c r="D6" s="172">
        <v>0</v>
      </c>
    </row>
    <row r="7" spans="1:5" ht="24" customHeight="1" x14ac:dyDescent="0.25">
      <c r="B7" s="173" t="s">
        <v>140</v>
      </c>
      <c r="C7" s="171">
        <v>100</v>
      </c>
      <c r="D7" s="172">
        <v>0</v>
      </c>
    </row>
    <row r="8" spans="1:5" ht="24" customHeight="1" x14ac:dyDescent="0.25">
      <c r="B8" s="173" t="s">
        <v>141</v>
      </c>
      <c r="C8" s="171">
        <v>100</v>
      </c>
      <c r="D8" s="172">
        <v>0</v>
      </c>
    </row>
    <row r="9" spans="1:5" ht="24" customHeight="1" x14ac:dyDescent="0.25">
      <c r="B9" s="173" t="s">
        <v>142</v>
      </c>
      <c r="C9" s="171">
        <v>100</v>
      </c>
      <c r="D9" s="172">
        <v>0</v>
      </c>
    </row>
  </sheetData>
  <mergeCells count="3">
    <mergeCell ref="B3:D3"/>
    <mergeCell ref="A2:E2"/>
    <mergeCell ref="A1:E1"/>
  </mergeCells>
  <pageMargins left="0.19685039370078741" right="0.19685039370078741" top="0.74803149606299213" bottom="0.74803149606299213" header="0.31496062992125984" footer="0.31496062992125984"/>
  <pageSetup scale="91"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selection sqref="A1:F1"/>
    </sheetView>
  </sheetViews>
  <sheetFormatPr defaultRowHeight="15" x14ac:dyDescent="0.25"/>
  <cols>
    <col min="1" max="1" width="7.140625" customWidth="1"/>
    <col min="2" max="2" width="46.42578125" customWidth="1"/>
    <col min="3" max="3" width="20.42578125" customWidth="1"/>
    <col min="4" max="4" width="24.5703125" customWidth="1"/>
    <col min="5" max="5" width="36.28515625" customWidth="1"/>
  </cols>
  <sheetData>
    <row r="1" spans="1:11" s="18" customFormat="1" ht="30.75" customHeight="1" x14ac:dyDescent="0.25">
      <c r="A1" s="411" t="s">
        <v>229</v>
      </c>
      <c r="B1" s="411"/>
      <c r="C1" s="411"/>
      <c r="D1" s="411"/>
      <c r="E1" s="411"/>
      <c r="F1" s="411"/>
      <c r="G1" s="210"/>
      <c r="H1" s="210"/>
      <c r="I1" s="210"/>
      <c r="J1" s="210"/>
      <c r="K1" s="210"/>
    </row>
    <row r="2" spans="1:11" s="18" customFormat="1" ht="29.25" customHeight="1" x14ac:dyDescent="0.25">
      <c r="A2" s="412" t="s">
        <v>228</v>
      </c>
      <c r="B2" s="413"/>
      <c r="C2" s="413"/>
      <c r="D2" s="413"/>
      <c r="E2" s="413"/>
      <c r="F2" s="413"/>
      <c r="G2" s="211"/>
      <c r="H2" s="211"/>
      <c r="I2" s="211"/>
      <c r="J2" s="211"/>
      <c r="K2" s="211"/>
    </row>
    <row r="3" spans="1:11" ht="6.75" customHeight="1" x14ac:dyDescent="0.25"/>
    <row r="4" spans="1:11" x14ac:dyDescent="0.25">
      <c r="A4" s="212" t="s">
        <v>1</v>
      </c>
      <c r="B4" s="212" t="s">
        <v>230</v>
      </c>
      <c r="C4" s="212" t="s">
        <v>232</v>
      </c>
      <c r="D4" s="212" t="s">
        <v>10</v>
      </c>
      <c r="E4" s="212" t="s">
        <v>231</v>
      </c>
    </row>
    <row r="5" spans="1:11" x14ac:dyDescent="0.25">
      <c r="A5" s="274"/>
      <c r="B5" s="274"/>
      <c r="C5" s="274"/>
      <c r="D5" s="274"/>
      <c r="E5" s="274"/>
    </row>
  </sheetData>
  <mergeCells count="2">
    <mergeCell ref="A2:F2"/>
    <mergeCell ref="A1:F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Table I</vt:lpstr>
      <vt:lpstr>Table II</vt:lpstr>
      <vt:lpstr>Table II-A</vt:lpstr>
      <vt:lpstr>Table III</vt:lpstr>
      <vt:lpstr>Table III-A</vt:lpstr>
      <vt:lpstr>Table III-B</vt:lpstr>
      <vt:lpstr>Table IV</vt:lpstr>
      <vt:lpstr>Table V</vt:lpstr>
      <vt:lpstr>Annexure B</vt:lpstr>
      <vt:lpstr>Annexure 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919818905556</dc:creator>
  <cp:lastModifiedBy>RTA BACKOFFICE</cp:lastModifiedBy>
  <cp:lastPrinted>2026-10-21T09:01:40Z</cp:lastPrinted>
  <dcterms:created xsi:type="dcterms:W3CDTF">2023-09-15T06:30:59Z</dcterms:created>
  <dcterms:modified xsi:type="dcterms:W3CDTF">2026-10-23T06:58:37Z</dcterms:modified>
</cp:coreProperties>
</file>